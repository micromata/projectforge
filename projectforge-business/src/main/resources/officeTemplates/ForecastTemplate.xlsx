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ai/workspace/Micromata/ProjectForge/projectforge-business/src/main/resources/officeTemplates/"/>
    </mc:Choice>
  </mc:AlternateContent>
  <xr:revisionPtr revIDLastSave="0" documentId="13_ncr:1_{F3876DD8-113B-394B-9B74-2CB70DA2CC4E}" xr6:coauthVersionLast="47" xr6:coauthVersionMax="47" xr10:uidLastSave="{00000000-0000-0000-0000-000000000000}"/>
  <bookViews>
    <workbookView xWindow="0" yWindow="1000" windowWidth="34560" windowHeight="21100" tabRatio="500" activeTab="1" xr2:uid="{00000000-000D-0000-FFFF-FFFF00000000}"/>
  </bookViews>
  <sheets>
    <sheet name="Forecast_Data" sheetId="1" r:id="rId1"/>
    <sheet name="Grafiken 1" sheetId="9" r:id="rId2"/>
    <sheet name="Grafiken 2" sheetId="2" r:id="rId3"/>
    <sheet name="Projektübersicht" sheetId="13" r:id="rId4"/>
    <sheet name="Umsatz kumuliert" sheetId="3" r:id="rId5"/>
    <sheet name="Rechnungen" sheetId="4" r:id="rId6"/>
    <sheet name="Rechnungen Vorjahr" sheetId="6" r:id="rId7"/>
    <sheet name="Rechnungen Vorvorjahr" sheetId="12" r:id="rId8"/>
    <sheet name="Planning_Data" sheetId="10" r:id="rId9"/>
    <sheet name="Planning_Invoices" sheetId="11" r:id="rId10"/>
    <sheet name="Info" sheetId="7" r:id="rId11"/>
  </sheets>
  <definedNames>
    <definedName name="__xlfn_SUMIFS">#N/A</definedName>
    <definedName name="_xlnm._FilterDatabase" localSheetId="0" hidden="1">Forecast_Data!$A$1:$AO$9</definedName>
    <definedName name="_xlnm._FilterDatabase" localSheetId="8" hidden="1">Planning_Data!$A$1:$AO$9</definedName>
    <definedName name="_xlnm._FilterDatabase" localSheetId="3" hidden="1">Projektübersicht!$A$1:$J$1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2" i="3" l="1"/>
  <c r="L12" i="3"/>
  <c r="K12" i="3"/>
  <c r="J12" i="3"/>
  <c r="I12" i="3"/>
  <c r="H12" i="3"/>
  <c r="G12" i="3"/>
  <c r="F12" i="3"/>
  <c r="E12" i="3"/>
  <c r="E9" i="3"/>
  <c r="D12" i="3"/>
  <c r="C12" i="3"/>
  <c r="C11" i="3"/>
  <c r="D11" i="3"/>
  <c r="E11" i="3"/>
  <c r="F11" i="3"/>
  <c r="G11" i="3"/>
  <c r="H11" i="3"/>
  <c r="I11" i="3"/>
  <c r="J11" i="3"/>
  <c r="K11" i="3"/>
  <c r="L11" i="3"/>
  <c r="M11" i="3"/>
  <c r="B11" i="3"/>
  <c r="B12" i="3"/>
  <c r="AE8" i="10"/>
  <c r="AF8" i="10"/>
  <c r="AG8" i="10"/>
  <c r="AH8" i="10"/>
  <c r="AI8" i="10"/>
  <c r="AJ8" i="10"/>
  <c r="AK8" i="10"/>
  <c r="AL8" i="10"/>
  <c r="AM8" i="10"/>
  <c r="AN8" i="10"/>
  <c r="AO8" i="10"/>
  <c r="AE6" i="10"/>
  <c r="AF6" i="10"/>
  <c r="AG6" i="10"/>
  <c r="AH6" i="10"/>
  <c r="AI6" i="10"/>
  <c r="AJ6" i="10"/>
  <c r="AK6" i="10"/>
  <c r="AL6" i="10"/>
  <c r="AM6" i="10"/>
  <c r="AN6" i="10"/>
  <c r="AO6" i="10"/>
  <c r="AD6" i="10"/>
  <c r="AE5" i="10"/>
  <c r="AF5" i="10"/>
  <c r="AG5" i="10"/>
  <c r="AH5" i="10"/>
  <c r="AI5" i="10"/>
  <c r="AJ5" i="10"/>
  <c r="AK5" i="10"/>
  <c r="AL5" i="10"/>
  <c r="AM5" i="10"/>
  <c r="AN5" i="10"/>
  <c r="AO5" i="10"/>
  <c r="AD5" i="10"/>
  <c r="AE4" i="10"/>
  <c r="AF4" i="10"/>
  <c r="AG4" i="10"/>
  <c r="AH4" i="10"/>
  <c r="AI4" i="10"/>
  <c r="AJ4" i="10"/>
  <c r="AK4" i="10"/>
  <c r="AL4" i="10"/>
  <c r="AM4" i="10"/>
  <c r="AN4" i="10"/>
  <c r="AO4" i="10"/>
  <c r="AD4" i="10"/>
  <c r="AE3" i="10"/>
  <c r="AF3" i="10"/>
  <c r="AG3" i="10"/>
  <c r="AH3" i="10"/>
  <c r="AI3" i="10"/>
  <c r="AJ3" i="10"/>
  <c r="AK3" i="10"/>
  <c r="AL3" i="10"/>
  <c r="AM3" i="10"/>
  <c r="AN3" i="10"/>
  <c r="AO3" i="10"/>
  <c r="AD3" i="10"/>
  <c r="AE2" i="10"/>
  <c r="AF2" i="10"/>
  <c r="AG2" i="10"/>
  <c r="AH2" i="10"/>
  <c r="AI2" i="10"/>
  <c r="AJ2" i="10"/>
  <c r="AK2" i="10"/>
  <c r="AL2" i="10"/>
  <c r="AM2" i="10"/>
  <c r="AN2" i="10"/>
  <c r="AO2" i="10"/>
  <c r="AD2" i="10"/>
  <c r="AD8" i="10"/>
  <c r="AO6" i="1"/>
  <c r="AN6" i="1"/>
  <c r="AM6" i="1"/>
  <c r="AL6" i="1"/>
  <c r="AK6" i="1"/>
  <c r="AJ6" i="1"/>
  <c r="AI6" i="1"/>
  <c r="AH6" i="1"/>
  <c r="AG6" i="1"/>
  <c r="AF6" i="1"/>
  <c r="AE6" i="1"/>
  <c r="AD6" i="1"/>
  <c r="AE5" i="1"/>
  <c r="AF5" i="1"/>
  <c r="AG5" i="1"/>
  <c r="AH5" i="1"/>
  <c r="AI5" i="1"/>
  <c r="AJ5" i="1"/>
  <c r="AK5" i="1"/>
  <c r="AL5" i="1"/>
  <c r="AM5" i="1"/>
  <c r="AN5" i="1"/>
  <c r="AO5" i="1"/>
  <c r="AD5" i="1"/>
  <c r="AE4" i="1"/>
  <c r="AF4" i="1"/>
  <c r="AG4" i="1"/>
  <c r="AH4" i="1"/>
  <c r="AI4" i="1"/>
  <c r="AJ4" i="1"/>
  <c r="AK4" i="1"/>
  <c r="AL4" i="1"/>
  <c r="AM4" i="1"/>
  <c r="AN4" i="1"/>
  <c r="AO4" i="1"/>
  <c r="AD4" i="1"/>
  <c r="AE3" i="1"/>
  <c r="AF3" i="1"/>
  <c r="AG3" i="1"/>
  <c r="AH3" i="1"/>
  <c r="AI3" i="1"/>
  <c r="AJ3" i="1"/>
  <c r="AK3" i="1"/>
  <c r="AL3" i="1"/>
  <c r="AM3" i="1"/>
  <c r="AN3" i="1"/>
  <c r="AO3" i="1"/>
  <c r="AD3" i="1"/>
  <c r="AE2" i="1"/>
  <c r="AF2" i="1"/>
  <c r="AG2" i="1"/>
  <c r="AH2" i="1"/>
  <c r="AI2" i="1"/>
  <c r="AJ2" i="1"/>
  <c r="AK2" i="1"/>
  <c r="AL2" i="1"/>
  <c r="AM2" i="1"/>
  <c r="AN2" i="1"/>
  <c r="AO2" i="1"/>
  <c r="AD2" i="1"/>
  <c r="C8" i="3"/>
  <c r="D8" i="3"/>
  <c r="E8" i="3"/>
  <c r="F8" i="3"/>
  <c r="G8" i="3"/>
  <c r="H8" i="3"/>
  <c r="I8" i="3"/>
  <c r="J8" i="3"/>
  <c r="K8" i="3"/>
  <c r="L8" i="3"/>
  <c r="M8" i="3"/>
  <c r="B8" i="3"/>
  <c r="AE8" i="1"/>
  <c r="AF8" i="1"/>
  <c r="AG8" i="1"/>
  <c r="AH8" i="1"/>
  <c r="AI8" i="1"/>
  <c r="AJ8" i="1"/>
  <c r="AK8" i="1"/>
  <c r="AL8" i="1"/>
  <c r="AM8" i="1"/>
  <c r="AN8" i="1"/>
  <c r="AO8" i="1"/>
  <c r="AD8" i="1"/>
  <c r="C2" i="3"/>
  <c r="AE7" i="1"/>
  <c r="C3" i="3"/>
  <c r="C4" i="3"/>
  <c r="D2" i="3"/>
  <c r="AF7" i="1"/>
  <c r="D3" i="3"/>
  <c r="D4" i="3"/>
  <c r="E2" i="3"/>
  <c r="AG7" i="1"/>
  <c r="E3" i="3"/>
  <c r="E4" i="3"/>
  <c r="F2" i="3"/>
  <c r="AH7" i="1"/>
  <c r="F3" i="3"/>
  <c r="F4" i="3"/>
  <c r="G2" i="3"/>
  <c r="AI7" i="1"/>
  <c r="G3" i="3"/>
  <c r="G4" i="3"/>
  <c r="H2" i="3"/>
  <c r="AJ7" i="1"/>
  <c r="H3" i="3"/>
  <c r="H4" i="3"/>
  <c r="I2" i="3"/>
  <c r="AK7" i="1"/>
  <c r="I3" i="3"/>
  <c r="I4" i="3"/>
  <c r="J2" i="3"/>
  <c r="AL7" i="1"/>
  <c r="J3" i="3"/>
  <c r="J4" i="3"/>
  <c r="K2" i="3"/>
  <c r="AM7" i="1"/>
  <c r="K3" i="3"/>
  <c r="K4" i="3"/>
  <c r="L2" i="3"/>
  <c r="AN7" i="1"/>
  <c r="L3" i="3"/>
  <c r="L4" i="3"/>
  <c r="M2" i="3"/>
  <c r="AO7" i="1"/>
  <c r="M3" i="3"/>
  <c r="M4" i="3"/>
  <c r="B2" i="3"/>
  <c r="AD7" i="1"/>
  <c r="B3" i="3"/>
  <c r="B4" i="3"/>
  <c r="AE7" i="10"/>
  <c r="AF7" i="10"/>
  <c r="AG7" i="10"/>
  <c r="AH7" i="10"/>
  <c r="AI7" i="10"/>
  <c r="AJ7" i="10"/>
  <c r="AK7" i="10"/>
  <c r="AL7" i="10"/>
  <c r="AM7" i="10"/>
  <c r="AN7" i="10"/>
  <c r="AO7" i="10"/>
  <c r="AD7" i="10"/>
  <c r="AE9" i="1"/>
  <c r="AF9" i="1"/>
  <c r="AG9" i="1"/>
  <c r="AH9" i="1"/>
  <c r="AI9" i="1"/>
  <c r="AJ9" i="1"/>
  <c r="AK9" i="1"/>
  <c r="AL9" i="1"/>
  <c r="AM9" i="1"/>
  <c r="AN9" i="1"/>
  <c r="AO9" i="1"/>
  <c r="AD9" i="1"/>
  <c r="B9" i="3"/>
  <c r="C9" i="3"/>
  <c r="D9" i="3"/>
  <c r="F9" i="3"/>
  <c r="G9" i="3"/>
  <c r="H9" i="3"/>
  <c r="I9" i="3"/>
  <c r="J9" i="3"/>
  <c r="K9" i="3"/>
  <c r="L9" i="3"/>
  <c r="M9" i="3"/>
  <c r="B6" i="3"/>
  <c r="C6" i="3"/>
  <c r="D6" i="3"/>
  <c r="E6" i="3"/>
  <c r="F6" i="3"/>
  <c r="G6" i="3"/>
  <c r="H6" i="3"/>
  <c r="I6" i="3"/>
  <c r="J6" i="3"/>
  <c r="K6" i="3"/>
  <c r="L6" i="3"/>
  <c r="M6" i="3"/>
  <c r="B5" i="3"/>
  <c r="C5" i="3"/>
  <c r="D5" i="3"/>
  <c r="E5" i="3"/>
  <c r="F5" i="3"/>
  <c r="G5" i="3"/>
  <c r="H5" i="3"/>
  <c r="I5" i="3"/>
  <c r="J5" i="3"/>
  <c r="K5" i="3"/>
  <c r="L5" i="3"/>
  <c r="M5" i="3"/>
  <c r="B1" i="3"/>
  <c r="C1" i="3"/>
  <c r="D1" i="3"/>
  <c r="E1" i="3"/>
  <c r="F1" i="3"/>
  <c r="G1" i="3"/>
  <c r="H1" i="3"/>
  <c r="I1" i="3"/>
  <c r="J1" i="3"/>
  <c r="K1" i="3"/>
  <c r="L1" i="3"/>
  <c r="M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tc={E45442EF-B789-F747-94A0-67C234C866AE}</author>
    <author>tc={0E5EDB66-204F-AF48-AF0C-800703AD109B}</author>
    <author>tc={E18BEFC3-4A25-4C4E-8456-D4AA5435172B}</author>
    <author>tc={876D63B5-EF23-C74F-AFE0-495EE5563AFA}</author>
  </authors>
  <commentList>
    <comment ref="P10" authorId="0" shapeId="0" xr:uid="{E45442EF-B789-F747-94A0-67C234C866A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Nettosumme gewichtet mit der Eintrittswahrscheinlichkeit</t>
      </text>
    </comment>
    <comment ref="R10" authorId="1" shapeId="0" xr:uid="{0E5EDB66-204F-AF48-AF0C-800703AD10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gewichtete Nettosumme abzügiich bereits faktuierter Beträge</t>
      </text>
    </comment>
    <comment ref="Y10" authorId="2" shapeId="0" xr:uid="{E18BEFC3-4A25-4C4E-8456-D4AA5435172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 Beträge sind nach dem betrachteten Forecast-Zeitraum noch offen. Werden demnach später in Rechnung gestellt.</t>
      </text>
    </comment>
    <comment ref="Z10" authorId="3" shapeId="0" xr:uid="{876D63B5-EF23-C74F-AFE0-495EE5563A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Budget ist um den angegebenen Betrag unter- (negative Werte) oder überschritten (positive Werte)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tc={164688EE-C018-C74D-9C06-663D4DFF9926}</author>
    <author>tc={8A1ADE95-CAA9-B447-9E86-6A4505BBEEA3}</author>
    <author>tc={DDB2B422-1A98-B042-B162-FC9B5B1C5A39}</author>
    <author>tc={4BF7C68F-136F-1D47-BEF5-17303DC0469A}</author>
  </authors>
  <commentList>
    <comment ref="P10" authorId="0" shapeId="0" xr:uid="{164688EE-C018-C74D-9C06-663D4DFF99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Nettosumme gewichtet mit der Eintrittswahrscheinlichkeit</t>
      </text>
    </comment>
    <comment ref="R10" authorId="1" shapeId="0" xr:uid="{8A1ADE95-CAA9-B447-9E86-6A4505BBEE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gewichtete Nettosumme abzügiich bereits faktuierter Beträge</t>
      </text>
    </comment>
    <comment ref="Y10" authorId="2" shapeId="0" xr:uid="{DDB2B422-1A98-B042-B162-FC9B5B1C5A3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 Beträge sind nach dem betrachteten Forecast-Zeitraum noch offen. Werden demnach später in Rechnung gestellt.</t>
      </text>
    </comment>
    <comment ref="Z10" authorId="3" shapeId="0" xr:uid="{4BF7C68F-136F-1D47-BEF5-17303DC0469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Budget ist um den angegebenen Betrag unter- (negative Werte) oder überschritten (positive Werte)</t>
      </text>
    </comment>
  </commentList>
</comments>
</file>

<file path=xl/sharedStrings.xml><?xml version="1.0" encoding="utf-8"?>
<sst xmlns="http://schemas.openxmlformats.org/spreadsheetml/2006/main" count="411" uniqueCount="110">
  <si>
    <t>Nr.</t>
  </si>
  <si>
    <t>Erfassungsdatum</t>
  </si>
  <si>
    <t>Entscheidungsdatum</t>
  </si>
  <si>
    <t>Projekt</t>
  </si>
  <si>
    <t>Titel</t>
  </si>
  <si>
    <t>Art</t>
  </si>
  <si>
    <t>Abrechnungsart</t>
  </si>
  <si>
    <t>Auftrag Status</t>
  </si>
  <si>
    <t>Position Status</t>
  </si>
  <si>
    <t>PT</t>
  </si>
  <si>
    <t>Nettosumme</t>
  </si>
  <si>
    <t>fakturiert</t>
  </si>
  <si>
    <t>vollständig fakturiert</t>
  </si>
  <si>
    <t>Debitorenrechnungen</t>
  </si>
  <si>
    <t>Leistungszeitraum</t>
  </si>
  <si>
    <t>Eintrittswahrsch. in %</t>
  </si>
  <si>
    <t>Ansprechpartner</t>
  </si>
  <si>
    <t>Strukturelement</t>
  </si>
  <si>
    <t>Bemerkung</t>
  </si>
  <si>
    <t>Anzahl Monate</t>
  </si>
  <si>
    <t>beauftragt</t>
  </si>
  <si>
    <t>gelegt</t>
  </si>
  <si>
    <t>LOI</t>
  </si>
  <si>
    <t>Potenzial</t>
  </si>
  <si>
    <t>Gesamt oben</t>
  </si>
  <si>
    <t>IST</t>
  </si>
  <si>
    <t>PLAN</t>
  </si>
  <si>
    <t>Gesamt</t>
  </si>
  <si>
    <t>kumuliert</t>
  </si>
  <si>
    <t>Plan kumuliert</t>
  </si>
  <si>
    <t>Pos.-Titel</t>
  </si>
  <si>
    <t>Month 7</t>
  </si>
  <si>
    <t>Month 8</t>
  </si>
  <si>
    <t>Month 9</t>
  </si>
  <si>
    <t>Month 10</t>
  </si>
  <si>
    <t>Month 11</t>
  </si>
  <si>
    <t>Month 12</t>
  </si>
  <si>
    <t>Month 1</t>
  </si>
  <si>
    <t>Month 2</t>
  </si>
  <si>
    <t>Month 3</t>
  </si>
  <si>
    <t>Month 4</t>
  </si>
  <si>
    <t>Month 5</t>
  </si>
  <si>
    <t>Month 6</t>
  </si>
  <si>
    <t>in Erstellung</t>
  </si>
  <si>
    <t>Kunde</t>
  </si>
  <si>
    <t>Betreff</t>
  </si>
  <si>
    <t>Pos.</t>
  </si>
  <si>
    <t>Datum</t>
  </si>
  <si>
    <t>Bezahldatum</t>
  </si>
  <si>
    <t>Netto</t>
  </si>
  <si>
    <t>Auftrag</t>
  </si>
  <si>
    <t>Positionstext</t>
  </si>
  <si>
    <t>Vorjahr</t>
  </si>
  <si>
    <t>Vorjahr kumuliert</t>
  </si>
  <si>
    <t>Zahlplan</t>
  </si>
  <si>
    <t>gewichtete Nettosumme</t>
  </si>
  <si>
    <t>gewichtet offen</t>
  </si>
  <si>
    <t>Auftragsstatus</t>
  </si>
  <si>
    <t>Positionsstatus</t>
  </si>
  <si>
    <t>Probability</t>
  </si>
  <si>
    <t>ABGELEHNT</t>
  </si>
  <si>
    <t>*</t>
  </si>
  <si>
    <t>ERSETZT</t>
  </si>
  <si>
    <t>POTENZIAL</t>
  </si>
  <si>
    <t>or value</t>
  </si>
  <si>
    <t>OPTIONAL</t>
  </si>
  <si>
    <t>BEAUFTRAGT</t>
  </si>
  <si>
    <t>ABGESCHLOSSEN</t>
  </si>
  <si>
    <t>ESKALATION, GELEGT, IN_ERSTELLUNG</t>
  </si>
  <si>
    <t>ESKALATION, GELEGT, IN_ERSTELLUNG, LOI</t>
  </si>
  <si>
    <t>Step</t>
  </si>
  <si>
    <t>The probability of an order (position) is determined by the following steps (beginning with step 1).
The first matching entry is used. 'or value' means, that the probaility value given in the order is used, if given,
otherwise the default probability value is assumed.</t>
  </si>
  <si>
    <t>Date of creation</t>
  </si>
  <si>
    <t>Schritt</t>
  </si>
  <si>
    <t>Order state</t>
  </si>
  <si>
    <t>Position state</t>
  </si>
  <si>
    <t>Wahrscheinlichkeit</t>
  </si>
  <si>
    <t>oder Wert</t>
  </si>
  <si>
    <t>DECLINED</t>
  </si>
  <si>
    <t>REPLACED</t>
  </si>
  <si>
    <t>POTENTIAL</t>
  </si>
  <si>
    <t>COMMISSIONED</t>
  </si>
  <si>
    <t>COMPLETED</t>
  </si>
  <si>
    <t>ESCALATION, PLACED, BEEING_CREATED</t>
  </si>
  <si>
    <t>ESCALATION, PLACED, BEEING_CREATED, LOI</t>
  </si>
  <si>
    <t>Snapshot date</t>
  </si>
  <si>
    <t>Abweichung</t>
  </si>
  <si>
    <t>Rest</t>
  </si>
  <si>
    <t>Warnung</t>
  </si>
  <si>
    <t>Planning date</t>
  </si>
  <si>
    <t>Forecasttyp</t>
  </si>
  <si>
    <t>Angebotsdatum</t>
  </si>
  <si>
    <t>Probality / Wahrscheinlichkeit</t>
  </si>
  <si>
    <r>
      <t xml:space="preserve">The </t>
    </r>
    <r>
      <rPr>
        <b/>
        <sz val="10"/>
        <rFont val="Arial"/>
        <family val="2"/>
      </rPr>
      <t>payment plan</t>
    </r>
    <r>
      <rPr>
        <sz val="10"/>
        <rFont val="Arial"/>
        <family val="2"/>
      </rPr>
      <t xml:space="preserve"> is used first, if available.
</t>
    </r>
    <r>
      <rPr>
        <b/>
        <sz val="10"/>
        <rFont val="Arial"/>
        <family val="2"/>
      </rPr>
      <t>Fixed price projects</t>
    </r>
    <r>
      <rPr>
        <sz val="10"/>
        <rFont val="Arial"/>
        <family val="2"/>
      </rPr>
      <t xml:space="preserve"> are scheduled at the end of the performance period.
</t>
    </r>
    <r>
      <rPr>
        <b/>
        <sz val="10"/>
        <rFont val="Arial"/>
        <family val="2"/>
      </rPr>
      <t>Time and materials</t>
    </r>
    <r>
      <rPr>
        <sz val="10"/>
        <rFont val="Arial"/>
        <family val="2"/>
      </rPr>
      <t xml:space="preserve"> and </t>
    </r>
    <r>
      <rPr>
        <b/>
        <sz val="10"/>
        <rFont val="Arial"/>
        <family val="2"/>
      </rPr>
      <t>Flat-rate</t>
    </r>
    <r>
      <rPr>
        <sz val="10"/>
        <rFont val="Arial"/>
        <family val="2"/>
      </rPr>
      <t xml:space="preserve"> projects are distributed monthly during the performance period.</t>
    </r>
  </si>
  <si>
    <t>Distribution of Forecast / Monatsverteilung</t>
  </si>
  <si>
    <t>date</t>
  </si>
  <si>
    <t>visible</t>
  </si>
  <si>
    <t>ProjectID</t>
  </si>
  <si>
    <t>visibleID</t>
  </si>
  <si>
    <t>unused</t>
  </si>
  <si>
    <t>Unit</t>
  </si>
  <si>
    <t>Beschreibung Status</t>
  </si>
  <si>
    <t>Vorvorjahr</t>
  </si>
  <si>
    <t>Vorvorjahr kumuliert</t>
  </si>
  <si>
    <t>Unused budget (T&amp;M)</t>
  </si>
  <si>
    <t>Plan</t>
  </si>
  <si>
    <t>Forecast</t>
  </si>
  <si>
    <t>Differenz Vorjahr</t>
  </si>
  <si>
    <t>Differenz Vorvorjahr</t>
  </si>
  <si>
    <t>Differenz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</si>
</sst>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 _€"/>
    <numFmt numFmtId="166" formatCode="#,##0.00&quot; €&quot;"/>
    <numFmt numFmtId="167" formatCode="#,##0.00\ &quot;€&quot;"/>
  </numFmts>
  <fonts count="18" x14ac:knownFonts="1">
    <font>
      <sz val="10"/>
      <name val="Arial"/>
      <family val="2"/>
    </font>
    <font>
      <sz val="10"/>
      <color indexed="9"/>
      <name val="Arial"/>
      <family val="2"/>
    </font>
    <font>
      <b/>
      <sz val="10"/>
      <color indexed="8"/>
      <name val="Arial"/>
      <family val="2"/>
    </font>
    <font>
      <sz val="10"/>
      <color indexed="10"/>
      <name val="Arial"/>
      <family val="2"/>
    </font>
    <font>
      <b/>
      <sz val="10"/>
      <color indexed="9"/>
      <name val="Arial"/>
      <family val="2"/>
    </font>
    <font>
      <i/>
      <sz val="10"/>
      <color indexed="23"/>
      <name val="Arial"/>
      <family val="2"/>
    </font>
    <font>
      <sz val="10"/>
      <color indexed="17"/>
      <name val="Arial"/>
      <family val="2"/>
    </font>
    <font>
      <sz val="18"/>
      <color indexed="8"/>
      <name val="Arial"/>
      <family val="2"/>
    </font>
    <font>
      <sz val="12"/>
      <color indexed="8"/>
      <name val="Arial"/>
      <family val="2"/>
    </font>
    <font>
      <b/>
      <sz val="24"/>
      <color indexed="8"/>
      <name val="Arial"/>
      <family val="2"/>
    </font>
    <font>
      <sz val="10"/>
      <color indexed="19"/>
      <name val="Arial"/>
      <family val="2"/>
    </font>
    <font>
      <sz val="10"/>
      <color indexed="63"/>
      <name val="Arial"/>
      <family val="2"/>
    </font>
    <font>
      <b/>
      <sz val="10"/>
      <name val="Arial"/>
      <family val="2"/>
    </font>
    <font>
      <i/>
      <sz val="10"/>
      <name val="Arial"/>
      <family val="2"/>
    </font>
    <font>
      <sz val="10"/>
      <name val="Arial"/>
      <family val="2"/>
    </font>
    <font>
      <b/>
      <sz val="12"/>
      <color theme="1"/>
      <name val="Calibri"/>
      <family val="2"/>
      <scheme val="minor"/>
    </font>
    <font>
      <b/>
      <sz val="16"/>
      <color rgb="FFFF0000"/>
      <name val="Arial"/>
      <family val="2"/>
    </font>
    <font>
      <b/>
      <sz val="18"/>
      <color rgb="FFFF0000"/>
      <name val="Arial"/>
      <family val="2"/>
    </font>
  </fonts>
  <fills count="14">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5"/>
      </patternFill>
    </fill>
    <fill>
      <patternFill patternType="solid">
        <fgColor indexed="45"/>
        <bgColor indexed="47"/>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9"/>
        <bgColor indexed="26"/>
      </patternFill>
    </fill>
    <fill>
      <patternFill patternType="solid">
        <fgColor indexed="47"/>
        <bgColor indexed="45"/>
      </patternFill>
    </fill>
    <fill>
      <patternFill patternType="solid">
        <fgColor indexed="22"/>
        <bgColor indexed="31"/>
      </patternFill>
    </fill>
    <fill>
      <patternFill patternType="solid">
        <fgColor indexed="43"/>
        <bgColor indexed="26"/>
      </patternFill>
    </fill>
    <fill>
      <patternFill patternType="solid">
        <fgColor indexed="29"/>
        <bgColor indexed="52"/>
      </patternFill>
    </fill>
  </fills>
  <borders count="8">
    <border>
      <left/>
      <right/>
      <top/>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bottom/>
      <diagonal/>
    </border>
    <border>
      <left/>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s>
  <cellStyleXfs count="17">
    <xf numFmtId="0" fontId="0" fillId="0" borderId="0"/>
    <xf numFmtId="0" fontId="1"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2" fillId="0" borderId="0" applyNumberFormat="0" applyFill="0" applyBorder="0" applyAlignment="0" applyProtection="0"/>
    <xf numFmtId="0" fontId="3" fillId="5" borderId="0" applyNumberFormat="0" applyBorder="0" applyAlignment="0" applyProtection="0"/>
    <xf numFmtId="0" fontId="4" fillId="6" borderId="0" applyNumberFormat="0" applyBorder="0" applyAlignment="0" applyProtection="0"/>
    <xf numFmtId="0" fontId="5" fillId="0" borderId="0" applyNumberFormat="0" applyFill="0" applyBorder="0" applyAlignment="0" applyProtection="0"/>
    <xf numFmtId="0" fontId="6" fillId="7"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8" borderId="0" applyNumberFormat="0" applyBorder="0" applyAlignment="0" applyProtection="0"/>
    <xf numFmtId="0" fontId="11" fillId="8" borderId="1" applyNumberFormat="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 fillId="0" borderId="0" applyNumberFormat="0" applyFill="0" applyBorder="0" applyAlignment="0" applyProtection="0"/>
  </cellStyleXfs>
  <cellXfs count="44">
    <xf numFmtId="0" fontId="0" fillId="0" borderId="0" xfId="0"/>
    <xf numFmtId="164" fontId="0" fillId="0" borderId="0" xfId="0" applyNumberFormat="1"/>
    <xf numFmtId="4" fontId="0" fillId="0" borderId="0" xfId="0" applyNumberFormat="1"/>
    <xf numFmtId="49" fontId="12" fillId="9" borderId="2" xfId="0" applyNumberFormat="1" applyFont="1" applyFill="1" applyBorder="1" applyAlignment="1">
      <alignment horizontal="left" wrapText="1"/>
    </xf>
    <xf numFmtId="164" fontId="12" fillId="9" borderId="2" xfId="0" applyNumberFormat="1" applyFont="1" applyFill="1" applyBorder="1" applyAlignment="1">
      <alignment horizontal="left" wrapText="1"/>
    </xf>
    <xf numFmtId="4" fontId="12" fillId="9" borderId="2" xfId="0" applyNumberFormat="1" applyFont="1" applyFill="1" applyBorder="1" applyAlignment="1">
      <alignment horizontal="left" wrapText="1"/>
    </xf>
    <xf numFmtId="0" fontId="0" fillId="10" borderId="0" xfId="0" applyFill="1"/>
    <xf numFmtId="4" fontId="0" fillId="10" borderId="0" xfId="0" applyNumberFormat="1" applyFill="1"/>
    <xf numFmtId="0" fontId="0" fillId="11" borderId="0" xfId="0" applyFill="1"/>
    <xf numFmtId="4" fontId="0" fillId="11" borderId="0" xfId="0" applyNumberFormat="1" applyFill="1"/>
    <xf numFmtId="0" fontId="0" fillId="12" borderId="0" xfId="0" applyFill="1"/>
    <xf numFmtId="4" fontId="0" fillId="12" borderId="0" xfId="0" applyNumberFormat="1" applyFill="1"/>
    <xf numFmtId="0" fontId="12" fillId="11" borderId="0" xfId="0" applyFont="1" applyFill="1"/>
    <xf numFmtId="0" fontId="12" fillId="0" borderId="0" xfId="0" applyFont="1"/>
    <xf numFmtId="4" fontId="12" fillId="0" borderId="0" xfId="0" applyNumberFormat="1" applyFont="1"/>
    <xf numFmtId="165" fontId="0" fillId="13" borderId="0" xfId="0" applyNumberFormat="1" applyFill="1"/>
    <xf numFmtId="4" fontId="0" fillId="13" borderId="0" xfId="0" applyNumberFormat="1" applyFill="1"/>
    <xf numFmtId="166" fontId="13" fillId="0" borderId="3" xfId="0" applyNumberFormat="1" applyFont="1" applyBorder="1"/>
    <xf numFmtId="166" fontId="0" fillId="0" borderId="3" xfId="0" applyNumberFormat="1" applyBorder="1"/>
    <xf numFmtId="166" fontId="0" fillId="0" borderId="0" xfId="0" applyNumberFormat="1"/>
    <xf numFmtId="0" fontId="0" fillId="0" borderId="0" xfId="0" applyAlignment="1">
      <alignment wrapText="1"/>
    </xf>
    <xf numFmtId="49" fontId="12" fillId="9" borderId="2" xfId="0" applyNumberFormat="1" applyFont="1" applyFill="1" applyBorder="1" applyAlignment="1">
      <alignment horizontal="left"/>
    </xf>
    <xf numFmtId="164" fontId="12" fillId="9" borderId="2" xfId="0" applyNumberFormat="1" applyFont="1" applyFill="1" applyBorder="1" applyAlignment="1">
      <alignment horizontal="left"/>
    </xf>
    <xf numFmtId="0" fontId="12" fillId="0" borderId="2" xfId="0" applyFont="1" applyBorder="1"/>
    <xf numFmtId="0" fontId="12" fillId="0" borderId="3" xfId="0" applyFont="1" applyBorder="1"/>
    <xf numFmtId="167" fontId="0" fillId="0" borderId="0" xfId="0" applyNumberFormat="1"/>
    <xf numFmtId="49" fontId="12" fillId="9" borderId="4" xfId="0" applyNumberFormat="1" applyFont="1" applyFill="1" applyBorder="1" applyAlignment="1">
      <alignment horizontal="left"/>
    </xf>
    <xf numFmtId="167" fontId="12" fillId="9" borderId="2" xfId="0" applyNumberFormat="1" applyFont="1" applyFill="1" applyBorder="1" applyAlignment="1">
      <alignment horizontal="left" wrapText="1"/>
    </xf>
    <xf numFmtId="0" fontId="15" fillId="0" borderId="0" xfId="0" applyFont="1"/>
    <xf numFmtId="165" fontId="0" fillId="0" borderId="0" xfId="0" applyNumberFormat="1"/>
    <xf numFmtId="14" fontId="0" fillId="0" borderId="0" xfId="0" applyNumberFormat="1" applyAlignment="1">
      <alignment horizontal="left" vertical="top"/>
    </xf>
    <xf numFmtId="14" fontId="17" fillId="0" borderId="0" xfId="0" applyNumberFormat="1" applyFont="1" applyAlignment="1">
      <alignment horizontal="left" vertical="top"/>
    </xf>
    <xf numFmtId="0" fontId="0" fillId="0" borderId="0" xfId="0" applyAlignment="1">
      <alignment vertical="center"/>
    </xf>
    <xf numFmtId="49" fontId="0" fillId="9" borderId="0" xfId="0" applyNumberFormat="1" applyFill="1" applyAlignment="1">
      <alignment horizontal="left"/>
    </xf>
    <xf numFmtId="14" fontId="16" fillId="0" borderId="0" xfId="0" applyNumberFormat="1" applyFont="1" applyAlignment="1">
      <alignment horizontal="left" vertical="center"/>
    </xf>
    <xf numFmtId="0" fontId="0" fillId="0" borderId="0" xfId="0" applyAlignment="1">
      <alignment horizontal="left" vertical="top" wrapText="1"/>
    </xf>
    <xf numFmtId="164" fontId="12" fillId="9" borderId="2" xfId="0" applyNumberFormat="1" applyFont="1" applyFill="1" applyBorder="1" applyAlignment="1">
      <alignment horizontal="left" wrapText="1"/>
    </xf>
    <xf numFmtId="14" fontId="16" fillId="0" borderId="5" xfId="0" applyNumberFormat="1" applyFont="1" applyBorder="1" applyAlignment="1">
      <alignment horizontal="left" vertical="center"/>
    </xf>
    <xf numFmtId="0" fontId="12" fillId="0" borderId="0" xfId="0" applyFont="1" applyAlignment="1">
      <alignment horizontal="left"/>
    </xf>
    <xf numFmtId="164" fontId="12" fillId="9" borderId="6" xfId="0" applyNumberFormat="1" applyFont="1" applyFill="1" applyBorder="1" applyAlignment="1">
      <alignment horizontal="left" wrapText="1"/>
    </xf>
    <xf numFmtId="164" fontId="12" fillId="9" borderId="7" xfId="0" applyNumberFormat="1" applyFont="1" applyFill="1" applyBorder="1" applyAlignment="1">
      <alignment horizontal="left" wrapText="1"/>
    </xf>
    <xf numFmtId="0" fontId="0" fillId="0" borderId="0" xfId="0" applyAlignment="1">
      <alignment horizontal="left" vertical="top" wrapText="1"/>
    </xf>
    <xf numFmtId="0" fontId="12" fillId="0" borderId="0" xfId="0" applyFont="1" applyAlignment="1">
      <alignment horizontal="left" vertical="center" wrapText="1"/>
    </xf>
    <xf numFmtId="0" fontId="0" fillId="0" borderId="0" xfId="0" applyAlignment="1">
      <alignment horizontal="left" vertical="center" wrapText="1"/>
    </xf>
  </cellXfs>
  <cellStyles count="17">
    <cellStyle name="Accent 1 1" xfId="1" xr:uid="{00000000-0005-0000-0000-000000000000}"/>
    <cellStyle name="Accent 2 1" xfId="2" xr:uid="{00000000-0005-0000-0000-000001000000}"/>
    <cellStyle name="Accent 3 1" xfId="3" xr:uid="{00000000-0005-0000-0000-000002000000}"/>
    <cellStyle name="Accent 4" xfId="4" xr:uid="{00000000-0005-0000-0000-000003000000}"/>
    <cellStyle name="Bad 1" xfId="5" xr:uid="{00000000-0005-0000-0000-000004000000}"/>
    <cellStyle name="Error 1" xfId="6" xr:uid="{00000000-0005-0000-0000-000005000000}"/>
    <cellStyle name="Footnote 1" xfId="7" xr:uid="{00000000-0005-0000-0000-000006000000}"/>
    <cellStyle name="Good 1" xfId="8" xr:uid="{00000000-0005-0000-0000-000007000000}"/>
    <cellStyle name="Heading 1 1" xfId="9" xr:uid="{00000000-0005-0000-0000-000008000000}"/>
    <cellStyle name="Heading 2 1" xfId="10" xr:uid="{00000000-0005-0000-0000-000009000000}"/>
    <cellStyle name="Heading 3" xfId="11" xr:uid="{00000000-0005-0000-0000-00000A000000}"/>
    <cellStyle name="Neutral 1" xfId="12" xr:uid="{00000000-0005-0000-0000-00000B000000}"/>
    <cellStyle name="Note 1" xfId="13" xr:uid="{00000000-0005-0000-0000-00000C000000}"/>
    <cellStyle name="Standard" xfId="0" builtinId="0"/>
    <cellStyle name="Status 1" xfId="14" xr:uid="{00000000-0005-0000-0000-00000E000000}"/>
    <cellStyle name="Text 1" xfId="15" xr:uid="{00000000-0005-0000-0000-00000F000000}"/>
    <cellStyle name="Warning 1" xfId="16" xr:uid="{00000000-0005-0000-0000-00001000000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FF"/>
      <rgbColor rgb="00FFFF00"/>
      <rgbColor rgb="00FF00FF"/>
      <rgbColor rgb="0000FFFF"/>
      <rgbColor rgb="00800000"/>
      <rgbColor rgb="000066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CCCC"/>
      <rgbColor rgb="00CC99FF"/>
      <rgbColor rgb="00FFCC99"/>
      <rgbColor rgb="003366FF"/>
      <rgbColor rgb="0033CCCC"/>
      <rgbColor rgb="0099CC00"/>
      <rgbColor rgb="00FFCC00"/>
      <rgbColor rgb="00FF9900"/>
      <rgbColor rgb="00FF420E"/>
      <rgbColor rgb="00666699"/>
      <rgbColor rgb="00969696"/>
      <rgbColor rgb="0000458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Gotham Book" pitchFamily="2" charset="0"/>
                <a:ea typeface="+mn-ea"/>
                <a:cs typeface="+mn-cs"/>
              </a:defRPr>
            </a:pPr>
            <a:r>
              <a:rPr lang="de-DE">
                <a:latin typeface="Gotham Book" pitchFamily="2" charset="0"/>
              </a:rPr>
              <a:t>Umsatzprognose Monatswerte</a:t>
            </a:r>
          </a:p>
        </c:rich>
      </c:tx>
      <c:layout>
        <c:manualLayout>
          <c:xMode val="edge"/>
          <c:yMode val="edge"/>
          <c:x val="0.37592599883347916"/>
          <c:y val="5.7914999929821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Gotham Book" pitchFamily="2" charset="0"/>
              <a:ea typeface="+mn-ea"/>
              <a:cs typeface="+mn-cs"/>
            </a:defRPr>
          </a:pPr>
          <a:endParaRPr lang="de-DE"/>
        </a:p>
      </c:txPr>
    </c:title>
    <c:autoTitleDeleted val="0"/>
    <c:plotArea>
      <c:layout>
        <c:manualLayout>
          <c:layoutTarget val="inner"/>
          <c:xMode val="edge"/>
          <c:yMode val="edge"/>
          <c:x val="6.111112492565577E-2"/>
          <c:y val="0.15250976032961835"/>
          <c:w val="0.83425944784872497"/>
          <c:h val="0.70270319949343141"/>
        </c:manualLayout>
      </c:layout>
      <c:barChart>
        <c:barDir val="col"/>
        <c:grouping val="stacked"/>
        <c:varyColors val="0"/>
        <c:ser>
          <c:idx val="2"/>
          <c:order val="1"/>
          <c:tx>
            <c:v>beauftragt</c:v>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val>
            <c:numRef>
              <c:f>Forecast_Data!$AD$2:$AO$2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32B-A944-8796-DC91D72BEAD6}"/>
            </c:ext>
          </c:extLst>
        </c:ser>
        <c:ser>
          <c:idx val="3"/>
          <c:order val="2"/>
          <c:tx>
            <c:v>LOI</c:v>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val>
            <c:numRef>
              <c:f>Forecast_Data!$AD$4:$AO$4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32B-A944-8796-DC91D72BEAD6}"/>
            </c:ext>
          </c:extLst>
        </c:ser>
        <c:ser>
          <c:idx val="4"/>
          <c:order val="3"/>
          <c:tx>
            <c:v>gelegt</c:v>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val>
            <c:numRef>
              <c:f>Forecast_Data!$AD$3:$AO$3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B32B-A944-8796-DC91D72BEAD6}"/>
            </c:ext>
          </c:extLst>
        </c:ser>
        <c:ser>
          <c:idx val="5"/>
          <c:order val="4"/>
          <c:tx>
            <c:v>Potenzial</c:v>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val>
            <c:numRef>
              <c:f>Forecast_Data!$AD$6:$AO$6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B32B-A944-8796-DC91D72BEAD6}"/>
            </c:ext>
          </c:extLst>
        </c:ser>
        <c:ser>
          <c:idx val="6"/>
          <c:order val="5"/>
          <c:tx>
            <c:v>in Erstellung</c:v>
          </c:tx>
          <c:spPr>
            <a:gradFill rotWithShape="1">
              <a:gsLst>
                <a:gs pos="0">
                  <a:schemeClr val="accent1">
                    <a:lumMod val="60000"/>
                    <a:tint val="100000"/>
                    <a:shade val="100000"/>
                    <a:satMod val="130000"/>
                  </a:schemeClr>
                </a:gs>
                <a:gs pos="100000">
                  <a:schemeClr val="accent1">
                    <a:lumMod val="60000"/>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val>
            <c:numRef>
              <c:f>Forecast_Data!$AD$5:$AO$5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B32B-A944-8796-DC91D72BEAD6}"/>
            </c:ext>
          </c:extLst>
        </c:ser>
        <c:ser>
          <c:idx val="0"/>
          <c:order val="6"/>
          <c:tx>
            <c:v>Ist</c:v>
          </c:tx>
          <c:spPr>
            <a:solidFill>
              <a:schemeClr val="bg1">
                <a:lumMod val="75000"/>
              </a:schemeClr>
            </a:solidFill>
            <a:ln>
              <a:noFill/>
            </a:ln>
            <a:effectLst>
              <a:outerShdw blurRad="40000" dist="23000" dir="5400000" rotWithShape="0">
                <a:srgbClr val="000000">
                  <a:alpha val="35000"/>
                </a:srgbClr>
              </a:outerShdw>
            </a:effectLst>
          </c:spPr>
          <c:invertIfNegative val="0"/>
          <c:val>
            <c:numRef>
              <c:f>Forecast_Data!$AD$8:$AO$8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B32B-A944-8796-DC91D72BEAD6}"/>
            </c:ext>
          </c:extLst>
        </c:ser>
        <c:dLbls>
          <c:showLegendKey val="0"/>
          <c:showVal val="0"/>
          <c:showCatName val="0"/>
          <c:showSerName val="0"/>
          <c:showPercent val="0"/>
          <c:showBubbleSize val="0"/>
        </c:dLbls>
        <c:gapWidth val="269"/>
        <c:overlap val="100"/>
        <c:axId val="1769920863"/>
        <c:axId val="1"/>
      </c:barChart>
      <c:lineChart>
        <c:grouping val="standard"/>
        <c:varyColors val="0"/>
        <c:ser>
          <c:idx val="1"/>
          <c:order val="0"/>
          <c:tx>
            <c:strRef>
              <c:f>Forecast_Data!$AC$9</c:f>
              <c:strCache>
                <c:ptCount val="1"/>
                <c:pt idx="0">
                  <c:v>PLAN</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cat>
            <c:strRef>
              <c:f>Forecast_Data!$AD$1:$AO$1</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Forecast_Data!$AD$9:$AO$9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6-B32B-A944-8796-DC91D72BEAD6}"/>
            </c:ext>
          </c:extLst>
        </c:ser>
        <c:ser>
          <c:idx val="7"/>
          <c:order val="7"/>
          <c:tx>
            <c:v>Vorjahr</c:v>
          </c:tx>
          <c:spPr>
            <a:ln w="31750" cap="rnd">
              <a:solidFill>
                <a:schemeClr val="accent3"/>
              </a:solidFill>
              <a:round/>
            </a:ln>
            <a:effectLst>
              <a:outerShdw blurRad="40000" dist="23000" dir="5400000" rotWithShape="0">
                <a:srgbClr val="000000">
                  <a:alpha val="35000"/>
                </a:srgbClr>
              </a:outerShdw>
            </a:effectLst>
          </c:spPr>
          <c:marker>
            <c:symbol val="none"/>
          </c:marker>
          <c:val>
            <c:numRef>
              <c:f>'Umsatz kumuliert'!$B$8:$M$8</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C79-C54F-97EE-FC7D87589FA6}"/>
            </c:ext>
          </c:extLst>
        </c:ser>
        <c:ser>
          <c:idx val="8"/>
          <c:order val="8"/>
          <c:tx>
            <c:v>Vorvorjahr</c:v>
          </c:tx>
          <c:spPr>
            <a:ln w="31750" cap="rnd">
              <a:solidFill>
                <a:schemeClr val="bg1">
                  <a:lumMod val="75000"/>
                </a:schemeClr>
              </a:solidFill>
              <a:prstDash val="sysDot"/>
              <a:round/>
            </a:ln>
            <a:effectLst>
              <a:outerShdw blurRad="40000" dist="23000" dir="5400000" rotWithShape="0">
                <a:srgbClr val="000000">
                  <a:alpha val="35000"/>
                </a:srgbClr>
              </a:outerShdw>
            </a:effectLst>
          </c:spPr>
          <c:marker>
            <c:symbol val="none"/>
          </c:marker>
          <c:val>
            <c:numRef>
              <c:f>'Umsatz kumuliert'!$B$11:$M$11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C2C1-2046-A045-6C8A627C62F8}"/>
            </c:ext>
          </c:extLst>
        </c:ser>
        <c:dLbls>
          <c:showLegendKey val="0"/>
          <c:showVal val="0"/>
          <c:showCatName val="0"/>
          <c:showSerName val="0"/>
          <c:showPercent val="0"/>
          <c:showBubbleSize val="0"/>
        </c:dLbls>
        <c:marker val="1"/>
        <c:smooth val="0"/>
        <c:axId val="1769920863"/>
        <c:axId val="1"/>
      </c:lineChart>
      <c:catAx>
        <c:axId val="17699208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Monat</a:t>
                </a:r>
              </a:p>
            </c:rich>
          </c:tx>
          <c:layout>
            <c:manualLayout>
              <c:xMode val="edge"/>
              <c:yMode val="edge"/>
              <c:x val="0.46388896179644212"/>
              <c:y val="0.9054059820062598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Gotham Book" pitchFamily="2" charset="0"/>
                <a:ea typeface="+mn-ea"/>
                <a:cs typeface="+mn-cs"/>
              </a:defRPr>
            </a:pPr>
            <a:endParaRPr lang="de-DE"/>
          </a:p>
        </c:txPr>
        <c:crossAx val="1"/>
        <c:crossesAt val="0"/>
        <c:auto val="1"/>
        <c:lblAlgn val="ctr"/>
        <c:lblOffset val="100"/>
        <c:noMultiLvlLbl val="0"/>
      </c:catAx>
      <c:valAx>
        <c:axId val="1"/>
        <c:scaling>
          <c:orientation val="minMax"/>
        </c:scaling>
        <c:delete val="0"/>
        <c:axPos val="l"/>
        <c:majorGridlines>
          <c:spPr>
            <a:ln w="9525" cap="flat" cmpd="sng" algn="ctr">
              <a:solidFill>
                <a:schemeClr val="tx2">
                  <a:lumMod val="15000"/>
                  <a:lumOff val="85000"/>
                </a:schemeClr>
              </a:solidFill>
              <a:round/>
            </a:ln>
            <a:effectLst/>
          </c:spPr>
        </c:majorGridlines>
        <c:numFmt formatCode="#,##0.00\ &quot;€&quot;"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2"/>
                </a:solidFill>
                <a:latin typeface="Gotham Book" pitchFamily="2" charset="0"/>
                <a:ea typeface="+mn-ea"/>
                <a:cs typeface="+mn-cs"/>
              </a:defRPr>
            </a:pPr>
            <a:endParaRPr lang="de-DE"/>
          </a:p>
        </c:txPr>
        <c:crossAx val="1769920863"/>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otham Book" pitchFamily="2" charset="0"/>
              <a:ea typeface="+mn-ea"/>
              <a:cs typeface="+mn-cs"/>
            </a:defRPr>
          </a:pPr>
          <a:endParaRPr lang="de-DE"/>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Gotham Book" pitchFamily="2" charset="0"/>
                <a:ea typeface="+mn-ea"/>
                <a:cs typeface="+mn-cs"/>
              </a:defRPr>
            </a:pPr>
            <a:r>
              <a:rPr lang="de-DE">
                <a:latin typeface="Gotham Book" pitchFamily="2" charset="0"/>
              </a:rPr>
              <a:t>Umsatzprognose kumuliert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Gotham Book" pitchFamily="2" charset="0"/>
              <a:ea typeface="+mn-ea"/>
              <a:cs typeface="+mn-cs"/>
            </a:defRPr>
          </a:pPr>
          <a:endParaRPr lang="de-DE"/>
        </a:p>
      </c:txPr>
    </c:title>
    <c:autoTitleDeleted val="0"/>
    <c:plotArea>
      <c:layout/>
      <c:lineChart>
        <c:grouping val="standard"/>
        <c:varyColors val="0"/>
        <c:ser>
          <c:idx val="0"/>
          <c:order val="0"/>
          <c:tx>
            <c:v>kumuliert</c:v>
          </c:tx>
          <c:spPr>
            <a:ln w="31750" cap="rnd">
              <a:solidFill>
                <a:schemeClr val="accent1"/>
              </a:solidFill>
              <a:round/>
            </a:ln>
            <a:effectLst>
              <a:outerShdw blurRad="40000" dist="23000" dir="5400000" rotWithShape="0">
                <a:srgbClr val="000000">
                  <a:alpha val="35000"/>
                </a:srgbClr>
              </a:outerShdw>
            </a:effectLst>
          </c:spPr>
          <c:marker>
            <c:symbol val="none"/>
          </c:marker>
          <c:dLbls>
            <c:dLbl>
              <c:idx val="11"/>
              <c:layout>
                <c:manualLayout>
                  <c:x val="0"/>
                  <c:y val="3.3519553072625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6A-D743-8DF8-22698FD198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'Umsatz kumuliert'!$B$1:$M$1</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'Umsatz kumuliert'!$B$5:$M$5</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D26A-D743-8DF8-22698FD1988F}"/>
            </c:ext>
          </c:extLst>
        </c:ser>
        <c:ser>
          <c:idx val="1"/>
          <c:order val="1"/>
          <c:tx>
            <c:v>Plan kumuliert</c:v>
          </c:tx>
          <c:spPr>
            <a:ln w="31750" cap="rnd">
              <a:solidFill>
                <a:schemeClr val="accent2"/>
              </a:solidFill>
              <a:round/>
            </a:ln>
            <a:effectLst>
              <a:outerShdw blurRad="40000" dist="23000" dir="5400000" rotWithShape="0">
                <a:srgbClr val="000000">
                  <a:alpha val="35000"/>
                </a:srgbClr>
              </a:outerShdw>
            </a:effectLst>
          </c:spPr>
          <c:marker>
            <c:symbol val="none"/>
          </c:marker>
          <c:dLbls>
            <c:dLbl>
              <c:idx val="11"/>
              <c:layout>
                <c:manualLayout>
                  <c:x val="-7.3126142595979406E-3"/>
                  <c:y val="-2.79329608938547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6A-D743-8DF8-22698FD198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'Umsatz kumuliert'!$B$1:$M$1</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'Umsatz kumuliert'!$B$6:$M$6</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D26A-D743-8DF8-22698FD1988F}"/>
            </c:ext>
          </c:extLst>
        </c:ser>
        <c:ser>
          <c:idx val="2"/>
          <c:order val="2"/>
          <c:tx>
            <c:v>kumuliert Vorjahr</c:v>
          </c:tx>
          <c:spPr>
            <a:ln w="31750" cap="rnd">
              <a:solidFill>
                <a:schemeClr val="accent3"/>
              </a:solidFill>
              <a:round/>
            </a:ln>
            <a:effectLst>
              <a:outerShdw blurRad="40000" dist="23000" dir="5400000" rotWithShape="0">
                <a:srgbClr val="000000">
                  <a:alpha val="35000"/>
                </a:srgbClr>
              </a:outerShdw>
            </a:effectLst>
          </c:spPr>
          <c:marker>
            <c:symbol val="none"/>
          </c:marker>
          <c:dLbls>
            <c:dLbl>
              <c:idx val="11"/>
              <c:layout>
                <c:manualLayout>
                  <c:x val="0"/>
                  <c:y val="2.7932960893854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6A-D743-8DF8-22698FD198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'Umsatz kumuliert'!$B$1:$M$1</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'Umsatz kumuliert'!$B$9:$M$9</c:f>
              <c:numCache>
                <c:formatCode>#,##0.00\ "€"</c:formatCode>
                <c:ptCount val="12"/>
                <c:pt idx="0" formatCode="#,##0.00&quot; €&quot;">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D26A-D743-8DF8-22698FD1988F}"/>
            </c:ext>
          </c:extLst>
        </c:ser>
        <c:ser>
          <c:idx val="3"/>
          <c:order val="3"/>
          <c:tx>
            <c:v>kumuliert Vorvorjahr</c:v>
          </c:tx>
          <c:spPr>
            <a:ln w="31750" cap="rnd">
              <a:solidFill>
                <a:schemeClr val="bg1">
                  <a:lumMod val="75000"/>
                </a:schemeClr>
              </a:solidFill>
              <a:prstDash val="sysDot"/>
              <a:round/>
            </a:ln>
            <a:effectLst>
              <a:outerShdw blurRad="40000" dist="23000" dir="5400000" rotWithShape="0">
                <a:srgbClr val="000000">
                  <a:alpha val="35000"/>
                </a:srgbClr>
              </a:outerShdw>
            </a:effectLst>
          </c:spPr>
          <c:marker>
            <c:symbol val="none"/>
          </c:marker>
          <c:dLbls>
            <c:dLbl>
              <c:idx val="11"/>
              <c:layout>
                <c:manualLayout>
                  <c:x val="0"/>
                  <c:y val="2.7932960893854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26A-D743-8DF8-22698FD198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'Umsatz kumuliert'!$B$12:$M$12</c:f>
              <c:numCache>
                <c:formatCode>#,##0.00\ "€"</c:formatCode>
                <c:ptCount val="12"/>
                <c:pt idx="0" formatCode="#,##0.00&quot; €&quot;">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EE0-9841-8AFA-9FF394B41666}"/>
            </c:ext>
          </c:extLst>
        </c:ser>
        <c:dLbls>
          <c:showLegendKey val="0"/>
          <c:showVal val="0"/>
          <c:showCatName val="0"/>
          <c:showSerName val="0"/>
          <c:showPercent val="0"/>
          <c:showBubbleSize val="0"/>
        </c:dLbls>
        <c:smooth val="0"/>
        <c:axId val="1730480751"/>
        <c:axId val="1"/>
      </c:lineChart>
      <c:catAx>
        <c:axId val="17304807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Gotham Book" pitchFamily="2" charset="0"/>
                <a:ea typeface="+mn-ea"/>
                <a:cs typeface="+mn-cs"/>
              </a:defRPr>
            </a:pPr>
            <a:endParaRPr lang="de-DE"/>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2">
                  <a:lumMod val="15000"/>
                  <a:lumOff val="85000"/>
                </a:schemeClr>
              </a:solidFill>
              <a:round/>
            </a:ln>
            <a:effectLst/>
          </c:spPr>
        </c:majorGridlines>
        <c:numFmt formatCode="#,##0.00&quot; €&quot;"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2"/>
                </a:solidFill>
                <a:latin typeface="Gotham Book" pitchFamily="2" charset="0"/>
                <a:ea typeface="+mn-ea"/>
                <a:cs typeface="+mn-cs"/>
              </a:defRPr>
            </a:pPr>
            <a:endParaRPr lang="de-DE"/>
          </a:p>
        </c:txPr>
        <c:crossAx val="1730480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otham Book" pitchFamily="2" charset="0"/>
              <a:ea typeface="+mn-ea"/>
              <a:cs typeface="+mn-cs"/>
            </a:defRPr>
          </a:pPr>
          <a:endParaRPr lang="de-DE"/>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de-DE"/>
              <a:t>Umsatzprognose Monatswerte</a:t>
            </a:r>
          </a:p>
        </c:rich>
      </c:tx>
      <c:layout>
        <c:manualLayout>
          <c:xMode val="edge"/>
          <c:yMode val="edge"/>
          <c:x val="0.37592599883347916"/>
          <c:y val="5.791499992982161E-2"/>
        </c:manualLayout>
      </c:layout>
      <c:overlay val="0"/>
      <c:spPr>
        <a:noFill/>
        <a:ln w="25400">
          <a:noFill/>
        </a:ln>
      </c:spPr>
    </c:title>
    <c:autoTitleDeleted val="0"/>
    <c:plotArea>
      <c:layout>
        <c:manualLayout>
          <c:layoutTarget val="inner"/>
          <c:xMode val="edge"/>
          <c:yMode val="edge"/>
          <c:x val="6.111112492565577E-2"/>
          <c:y val="0.15250976032961835"/>
          <c:w val="0.83425944784872497"/>
          <c:h val="0.70270319949343141"/>
        </c:manualLayout>
      </c:layout>
      <c:lineChart>
        <c:grouping val="standard"/>
        <c:varyColors val="0"/>
        <c:ser>
          <c:idx val="0"/>
          <c:order val="0"/>
          <c:tx>
            <c:strRef>
              <c:f>'Umsatz kumuliert'!$A$4</c:f>
              <c:strCache>
                <c:ptCount val="1"/>
                <c:pt idx="0">
                  <c:v>Gesamt</c:v>
                </c:pt>
              </c:strCache>
            </c:strRef>
          </c:tx>
          <c:spPr>
            <a:ln w="25400">
              <a:solidFill>
                <a:srgbClr val="666699"/>
              </a:solidFill>
              <a:prstDash val="solid"/>
            </a:ln>
          </c:spPr>
          <c:marker>
            <c:spPr>
              <a:solidFill>
                <a:srgbClr val="4F81BD"/>
              </a:solidFill>
              <a:ln>
                <a:solidFill>
                  <a:srgbClr val="666699"/>
                </a:solidFill>
                <a:prstDash val="solid"/>
              </a:ln>
            </c:spPr>
          </c:marker>
          <c:val>
            <c:numRef>
              <c:f>'Umsatz kumuliert'!$B$4:$M$4</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1F3-A849-8CD9-33D421FFBDB7}"/>
            </c:ext>
          </c:extLst>
        </c:ser>
        <c:ser>
          <c:idx val="1"/>
          <c:order val="1"/>
          <c:tx>
            <c:strRef>
              <c:f>Forecast_Data!$AC$9</c:f>
              <c:strCache>
                <c:ptCount val="1"/>
                <c:pt idx="0">
                  <c:v>PLAN</c:v>
                </c:pt>
              </c:strCache>
            </c:strRef>
          </c:tx>
          <c:spPr>
            <a:ln w="25400">
              <a:solidFill>
                <a:srgbClr val="993366"/>
              </a:solidFill>
              <a:prstDash val="solid"/>
            </a:ln>
          </c:spPr>
          <c:marker>
            <c:spPr>
              <a:solidFill>
                <a:srgbClr val="C0504D"/>
              </a:solidFill>
              <a:ln>
                <a:solidFill>
                  <a:srgbClr val="993366"/>
                </a:solidFill>
                <a:prstDash val="solid"/>
              </a:ln>
            </c:spPr>
          </c:marker>
          <c:val>
            <c:numRef>
              <c:f>Forecast_Data!$AD$9:$AO$9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1F3-A849-8CD9-33D421FFBDB7}"/>
            </c:ext>
          </c:extLst>
        </c:ser>
        <c:ser>
          <c:idx val="2"/>
          <c:order val="2"/>
          <c:tx>
            <c:v>Vorjahr</c:v>
          </c:tx>
          <c:val>
            <c:numRef>
              <c:f>'Umsatz kumuliert'!$B$8:$M$8</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BB6-3D43-B21E-C23934B7241A}"/>
            </c:ext>
          </c:extLst>
        </c:ser>
        <c:ser>
          <c:idx val="3"/>
          <c:order val="3"/>
          <c:tx>
            <c:v>Vorvorjahr</c:v>
          </c:tx>
          <c:spPr>
            <a:ln>
              <a:solidFill>
                <a:schemeClr val="bg1">
                  <a:lumMod val="75000"/>
                </a:schemeClr>
              </a:solidFill>
              <a:prstDash val="sysDot"/>
            </a:ln>
          </c:spPr>
          <c:val>
            <c:numRef>
              <c:f>'Umsatz kumuliert'!$B$11:$M$11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698-DA4F-BE55-5CA3F0C0E5D7}"/>
            </c:ext>
          </c:extLst>
        </c:ser>
        <c:dLbls>
          <c:showLegendKey val="0"/>
          <c:showVal val="0"/>
          <c:showCatName val="0"/>
          <c:showSerName val="0"/>
          <c:showPercent val="0"/>
          <c:showBubbleSize val="0"/>
        </c:dLbls>
        <c:marker val="1"/>
        <c:smooth val="0"/>
        <c:axId val="1769920863"/>
        <c:axId val="1"/>
      </c:lineChart>
      <c:catAx>
        <c:axId val="1769920863"/>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de-DE"/>
                  <a:t>Monat</a:t>
                </a:r>
              </a:p>
            </c:rich>
          </c:tx>
          <c:layout>
            <c:manualLayout>
              <c:xMode val="edge"/>
              <c:yMode val="edge"/>
              <c:x val="0.46388896179644212"/>
              <c:y val="0.90540598200625988"/>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de-DE"/>
          </a:p>
        </c:txPr>
        <c:crossAx val="1"/>
        <c:crossesAt val="0"/>
        <c:auto val="1"/>
        <c:lblAlgn val="ctr"/>
        <c:lblOffset val="100"/>
        <c:tickLblSkip val="1"/>
        <c:tickMarkSkip val="1"/>
        <c:noMultiLvlLbl val="0"/>
      </c:catAx>
      <c:valAx>
        <c:axId val="1"/>
        <c:scaling>
          <c:orientation val="minMax"/>
        </c:scaling>
        <c:delete val="0"/>
        <c:axPos val="l"/>
        <c:majorGridlines>
          <c:spPr>
            <a:ln w="3175">
              <a:solidFill>
                <a:srgbClr val="808080"/>
              </a:solidFill>
              <a:prstDash val="solid"/>
            </a:ln>
          </c:spPr>
        </c:majorGridlines>
        <c:numFmt formatCode="#,##0.00\ &quot;€&quot;"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de-DE"/>
          </a:p>
        </c:txPr>
        <c:crossAx val="1769920863"/>
        <c:crossesAt val="1"/>
        <c:crossBetween val="between"/>
      </c:valAx>
      <c:spPr>
        <a:solidFill>
          <a:srgbClr val="FFFFFF"/>
        </a:solidFill>
        <a:ln w="25400">
          <a:noFill/>
        </a:ln>
      </c:spPr>
    </c:plotArea>
    <c:legend>
      <c:legendPos val="r"/>
      <c:layout>
        <c:manualLayout>
          <c:xMode val="edge"/>
          <c:yMode val="edge"/>
          <c:x val="0.9148150335374744"/>
          <c:y val="0.3397686920151024"/>
          <c:w val="7.1879848352289305E-2"/>
          <c:h val="0.12205033194380116"/>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de-DE"/>
        </a:p>
      </c:txPr>
    </c:legend>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de-DE"/>
    </a:p>
  </c:txPr>
  <c:printSettings>
    <c:headerFooter alignWithMargins="0"/>
    <c:pageMargins b="0.984251969" l="0.78740157499999996" r="0.78740157499999996" t="0.984251969" header="0.51180555555555551" footer="0.51180555555555551"/>
    <c:pageSetup firstPageNumber="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de-DE"/>
              <a:t>Umsatzprognose kumuliert</a:t>
            </a:r>
          </a:p>
        </c:rich>
      </c:tx>
      <c:overlay val="0"/>
      <c:spPr>
        <a:noFill/>
        <a:ln w="25400">
          <a:noFill/>
        </a:ln>
      </c:spPr>
    </c:title>
    <c:autoTitleDeleted val="0"/>
    <c:plotArea>
      <c:layout/>
      <c:lineChart>
        <c:grouping val="standard"/>
        <c:varyColors val="0"/>
        <c:ser>
          <c:idx val="0"/>
          <c:order val="0"/>
          <c:tx>
            <c:v>kumuliert</c:v>
          </c:tx>
          <c:spPr>
            <a:ln w="25400">
              <a:solidFill>
                <a:srgbClr val="666699"/>
              </a:solidFill>
              <a:prstDash val="solid"/>
            </a:ln>
          </c:spPr>
          <c:marker>
            <c:spPr>
              <a:solidFill>
                <a:srgbClr val="4F81BD"/>
              </a:solidFill>
              <a:ln>
                <a:solidFill>
                  <a:srgbClr val="666699"/>
                </a:solidFill>
                <a:prstDash val="solid"/>
              </a:ln>
            </c:spPr>
          </c:marker>
          <c:cat>
            <c:strRef>
              <c:f>'Umsatz kumuliert'!$B$1:$M$1</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'Umsatz kumuliert'!$B$5:$M$5</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7F4-5A43-9CE8-59090EA05F82}"/>
            </c:ext>
          </c:extLst>
        </c:ser>
        <c:ser>
          <c:idx val="1"/>
          <c:order val="1"/>
          <c:tx>
            <c:v>Plan kumuliert</c:v>
          </c:tx>
          <c:spPr>
            <a:ln w="25400">
              <a:solidFill>
                <a:srgbClr val="993366"/>
              </a:solidFill>
              <a:prstDash val="solid"/>
            </a:ln>
          </c:spPr>
          <c:marker>
            <c:spPr>
              <a:solidFill>
                <a:srgbClr val="C0504D"/>
              </a:solidFill>
              <a:ln>
                <a:solidFill>
                  <a:srgbClr val="993366"/>
                </a:solidFill>
                <a:prstDash val="solid"/>
              </a:ln>
            </c:spPr>
          </c:marker>
          <c:val>
            <c:numRef>
              <c:f>'Umsatz kumuliert'!$B$6:$M$6</c:f>
              <c:numCache>
                <c:formatCode>#,##0.00"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7F4-5A43-9CE8-59090EA05F82}"/>
            </c:ext>
          </c:extLst>
        </c:ser>
        <c:ser>
          <c:idx val="2"/>
          <c:order val="2"/>
          <c:tx>
            <c:v>kumuliert Vorjahr</c:v>
          </c:tx>
          <c:val>
            <c:numRef>
              <c:f>'Umsatz kumuliert'!$B$9:$M$9</c:f>
              <c:numCache>
                <c:formatCode>#,##0.00\ "€"</c:formatCode>
                <c:ptCount val="12"/>
                <c:pt idx="0" formatCode="#,##0.00&quot; €&quot;">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F21-424A-BC63-A5DC043B4C35}"/>
            </c:ext>
          </c:extLst>
        </c:ser>
        <c:ser>
          <c:idx val="3"/>
          <c:order val="3"/>
          <c:tx>
            <c:v>kumuliert Vorvorjahr</c:v>
          </c:tx>
          <c:spPr>
            <a:ln>
              <a:solidFill>
                <a:schemeClr val="bg1">
                  <a:lumMod val="75000"/>
                </a:schemeClr>
              </a:solidFill>
              <a:prstDash val="sysDot"/>
            </a:ln>
          </c:spPr>
          <c:val>
            <c:numRef>
              <c:f>'Umsatz kumuliert'!$B$12:$M$12</c:f>
              <c:numCache>
                <c:formatCode>#,##0.00\ "€"</c:formatCode>
                <c:ptCount val="12"/>
                <c:pt idx="0" formatCode="#,##0.00&quot; €&quot;">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C519-BC41-AFFF-FD86E399BFD8}"/>
            </c:ext>
          </c:extLst>
        </c:ser>
        <c:dLbls>
          <c:showLegendKey val="0"/>
          <c:showVal val="0"/>
          <c:showCatName val="0"/>
          <c:showSerName val="0"/>
          <c:showPercent val="0"/>
          <c:showBubbleSize val="0"/>
        </c:dLbls>
        <c:marker val="1"/>
        <c:smooth val="0"/>
        <c:axId val="1730480751"/>
        <c:axId val="1"/>
      </c:lineChart>
      <c:catAx>
        <c:axId val="1730480751"/>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de-DE"/>
          </a:p>
        </c:txPr>
        <c:crossAx val="1"/>
        <c:crosses val="autoZero"/>
        <c:auto val="1"/>
        <c:lblAlgn val="ctr"/>
        <c:lblOffset val="100"/>
        <c:noMultiLvlLbl val="0"/>
      </c:catAx>
      <c:valAx>
        <c:axId val="1"/>
        <c:scaling>
          <c:orientation val="minMax"/>
        </c:scaling>
        <c:delete val="0"/>
        <c:axPos val="l"/>
        <c:majorGridlines>
          <c:spPr>
            <a:ln w="3175">
              <a:solidFill>
                <a:srgbClr val="808080"/>
              </a:solidFill>
              <a:prstDash val="solid"/>
            </a:ln>
          </c:spPr>
        </c:majorGridlines>
        <c:numFmt formatCode="#,##0.00&quot; €&quot;"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de-DE"/>
          </a:p>
        </c:txPr>
        <c:crossAx val="1730480751"/>
        <c:crosses val="autoZero"/>
        <c:crossBetween val="between"/>
      </c:valAx>
      <c:spPr>
        <a:solidFill>
          <a:srgbClr val="FFFFFF"/>
        </a:solidFill>
        <a:ln w="25400">
          <a:noFill/>
        </a:ln>
      </c:spPr>
    </c:plotArea>
    <c:legend>
      <c:legendPos val="r"/>
      <c:overlay val="0"/>
      <c:spPr>
        <a:noFill/>
        <a:ln w="25400">
          <a:noFill/>
        </a:ln>
      </c:spPr>
      <c:txPr>
        <a:bodyPr/>
        <a:lstStyle/>
        <a:p>
          <a:pPr>
            <a:defRPr sz="920" b="0" i="0" u="none" strike="noStrike" baseline="0">
              <a:solidFill>
                <a:srgbClr val="000000"/>
              </a:solidFill>
              <a:latin typeface="Calibri"/>
              <a:ea typeface="Calibri"/>
              <a:cs typeface="Calibri"/>
            </a:defRPr>
          </a:pPr>
          <a:endParaRPr lang="de-DE"/>
        </a:p>
      </c:txPr>
    </c:legend>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de-DE"/>
    </a:p>
  </c:txPr>
  <c:printSettings>
    <c:headerFooter alignWithMargins="0"/>
    <c:pageMargins b="0.984251969" l="0.78740157499999996" r="0.78740157499999996" t="0.984251969"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177800</xdr:colOff>
      <xdr:row>0</xdr:row>
      <xdr:rowOff>0</xdr:rowOff>
    </xdr:from>
    <xdr:to>
      <xdr:col>16</xdr:col>
      <xdr:colOff>482600</xdr:colOff>
      <xdr:row>43</xdr:row>
      <xdr:rowOff>25400</xdr:rowOff>
    </xdr:to>
    <xdr:graphicFrame macro="">
      <xdr:nvGraphicFramePr>
        <xdr:cNvPr id="2" name="Diagramm 1">
          <a:extLst>
            <a:ext uri="{FF2B5EF4-FFF2-40B4-BE49-F238E27FC236}">
              <a16:creationId xmlns:a16="http://schemas.microsoft.com/office/drawing/2014/main" id="{3E71236F-1569-244D-898A-EA00F8E47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45</xdr:row>
      <xdr:rowOff>146050</xdr:rowOff>
    </xdr:from>
    <xdr:to>
      <xdr:col>16</xdr:col>
      <xdr:colOff>596900</xdr:colOff>
      <xdr:row>87</xdr:row>
      <xdr:rowOff>31750</xdr:rowOff>
    </xdr:to>
    <xdr:graphicFrame macro="">
      <xdr:nvGraphicFramePr>
        <xdr:cNvPr id="4" name="Diagramm 3">
          <a:extLst>
            <a:ext uri="{FF2B5EF4-FFF2-40B4-BE49-F238E27FC236}">
              <a16:creationId xmlns:a16="http://schemas.microsoft.com/office/drawing/2014/main" id="{DAE9D5FE-726B-D442-AC6D-1089930CA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0</xdr:row>
      <xdr:rowOff>88900</xdr:rowOff>
    </xdr:from>
    <xdr:to>
      <xdr:col>16</xdr:col>
      <xdr:colOff>406400</xdr:colOff>
      <xdr:row>43</xdr:row>
      <xdr:rowOff>114300</xdr:rowOff>
    </xdr:to>
    <xdr:graphicFrame macro="">
      <xdr:nvGraphicFramePr>
        <xdr:cNvPr id="2057" name="Diagramm 1">
          <a:extLst>
            <a:ext uri="{FF2B5EF4-FFF2-40B4-BE49-F238E27FC236}">
              <a16:creationId xmlns:a16="http://schemas.microsoft.com/office/drawing/2014/main" id="{9334AD15-94FE-9945-B27A-1D8F5837C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46</xdr:row>
      <xdr:rowOff>38100</xdr:rowOff>
    </xdr:from>
    <xdr:to>
      <xdr:col>16</xdr:col>
      <xdr:colOff>368300</xdr:colOff>
      <xdr:row>87</xdr:row>
      <xdr:rowOff>88900</xdr:rowOff>
    </xdr:to>
    <xdr:graphicFrame macro="">
      <xdr:nvGraphicFramePr>
        <xdr:cNvPr id="2058" name="Diagramm 1">
          <a:extLst>
            <a:ext uri="{FF2B5EF4-FFF2-40B4-BE49-F238E27FC236}">
              <a16:creationId xmlns:a16="http://schemas.microsoft.com/office/drawing/2014/main" id="{953FB98F-4F7A-9C48-B93D-182D7A7A2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ai Reinhard" id="{A78CCFA2-D802-6742-9423-F4345C0EED1C}" userId="S::k.reinhard@polyas.info::5942220e-ce17-47d6-a3ca-de88d399bc0c" providerId="AD"/>
  <person displayName="Kai Reinhard" id="{33547D16-133A-3948-B40B-5CD925F3958C}" userId="S::k.reinhard@micromata.onmicrosoft.de::06435126-6300-4a42-aba8-c2826b3621ef" providerId="AD"/>
</personList>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10" dT="2019-12-19T15:09:32.91" personId="{33547D16-133A-3948-B40B-5CD925F3958C}" id="{E45442EF-B789-F747-94A0-67C234C866AE}">
    <text>Nettosumme gewichtet mit der Eintrittswahrscheinlichkeit</text>
  </threadedComment>
  <threadedComment ref="R10" dT="2019-12-19T15:10:08.52" personId="{33547D16-133A-3948-B40B-5CD925F3958C}" id="{0E5EDB66-204F-AF48-AF0C-800703AD109B}">
    <text>gewichtete Nettosumme abzügiich bereits faktuierter Beträge</text>
  </threadedComment>
  <threadedComment ref="Y10" dT="2025-01-09T14:32:39.85" personId="{A78CCFA2-D802-6742-9423-F4345C0EED1C}" id="{E18BEFC3-4A25-4C4E-8456-D4AA5435172B}">
    <text>Diese Beträge sind nach dem betrachteten Forecast-Zeitraum noch offen. Werden demnach später in Rechnung gestellt.</text>
  </threadedComment>
  <threadedComment ref="Z10" dT="2025-01-09T14:33:25.24" personId="{A78CCFA2-D802-6742-9423-F4345C0EED1C}" id="{876D63B5-EF23-C74F-AFE0-495EE5563AFA}">
    <text>Das Budget ist um den angegebenen Betrag unter- (negative Werte) oder überschritten (positive Werte)</text>
  </threadedComment>
</ThreadedComments>
</file>

<file path=xl/threadedComments/threadedComment2.xml><?xml version="1.0" encoding="utf-8"?>
<ThreadedComments xmlns="http://schemas.microsoft.com/office/spreadsheetml/2018/threadedcomments" xmlns:x="http://schemas.openxmlformats.org/spreadsheetml/2006/main">
  <threadedComment ref="P10" dT="2019-12-19T15:09:32.91" personId="{33547D16-133A-3948-B40B-5CD925F3958C}" id="{164688EE-C018-C74D-9C06-663D4DFF9926}">
    <text>Nettosumme gewichtet mit der Eintrittswahrscheinlichkeit</text>
  </threadedComment>
  <threadedComment ref="R10" dT="2019-12-19T15:10:08.52" personId="{33547D16-133A-3948-B40B-5CD925F3958C}" id="{8A1ADE95-CAA9-B447-9E86-6A4505BBEEA3}">
    <text>gewichtete Nettosumme abzügiich bereits faktuierter Beträge</text>
  </threadedComment>
  <threadedComment ref="Y10" dT="2025-01-09T14:32:39.85" personId="{A78CCFA2-D802-6742-9423-F4345C0EED1C}" id="{DDB2B422-1A98-B042-B162-FC9B5B1C5A39}">
    <text>Diese Beträge sind nach dem betrachteten Forecast-Zeitraum noch offen. Werden demnach später in Rechnung gestellt.</text>
  </threadedComment>
  <threadedComment ref="Z10" dT="2025-01-09T14:33:25.24" personId="{A78CCFA2-D802-6742-9423-F4345C0EED1C}" id="{4BF7C68F-136F-1D47-BEF5-17303DC0469A}">
    <text>Das Budget ist um den angegebenen Betrag unter- (negative Werte) oder überschritten (positive Werte)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
  <sheetViews>
    <sheetView workbookViewId="0">
      <pane xSplit="5" ySplit="10" topLeftCell="F15" activePane="bottomRight" state="frozen"/>
      <selection pane="topRight" activeCell="D1" sqref="D1"/>
      <selection pane="bottomLeft" activeCell="A11" sqref="A11"/>
      <selection pane="bottomRight" activeCell="C1" sqref="C1:E1"/>
    </sheetView>
  </sheetViews>
  <sheetFormatPr baseColWidth="10" defaultColWidth="8.6640625" defaultRowHeight="13" x14ac:dyDescent="0.15"/>
  <cols>
    <col min="1" max="1" width="7.83203125" customWidth="1"/>
    <col min="2" max="2" width="6.33203125" customWidth="1"/>
    <col min="3" max="3" width="13.1640625" customWidth="1"/>
    <col min="4" max="4" width="18" style="1" customWidth="1"/>
    <col min="5" max="5" width="23.83203125" customWidth="1"/>
    <col min="6" max="6" width="16.6640625" customWidth="1"/>
    <col min="7" max="8" width="31.1640625" customWidth="1"/>
    <col min="9" max="12" width="11.5" customWidth="1"/>
    <col min="13" max="13" width="8.33203125" customWidth="1"/>
    <col min="14" max="14" width="12.5" style="2" customWidth="1"/>
    <col min="15" max="15" width="11.5" customWidth="1"/>
    <col min="16" max="16" width="13.6640625" style="2" customWidth="1"/>
    <col min="17" max="19" width="11.5" style="2" customWidth="1"/>
    <col min="20" max="20" width="11.5" style="20" customWidth="1"/>
    <col min="21" max="22" width="11.5" style="1" customWidth="1"/>
    <col min="23" max="24" width="8" customWidth="1"/>
    <col min="25" max="25" width="13.33203125" style="25" customWidth="1"/>
    <col min="26" max="27" width="13.1640625" style="25" customWidth="1"/>
    <col min="28" max="28" width="14.1640625" customWidth="1"/>
    <col min="29" max="29" width="12" bestFit="1" customWidth="1"/>
    <col min="30" max="41" width="12.83203125" style="2" customWidth="1"/>
    <col min="42" max="43" width="19" style="1" customWidth="1"/>
    <col min="44" max="44" width="52.83203125" customWidth="1"/>
    <col min="45" max="45" width="16.5" customWidth="1"/>
    <col min="46" max="46" width="29.5" customWidth="1"/>
    <col min="47" max="47" width="65.6640625" customWidth="1"/>
    <col min="48" max="48" width="9.6640625" hidden="1" customWidth="1"/>
    <col min="49" max="49" width="9.5" hidden="1" customWidth="1"/>
    <col min="50" max="50" width="10.33203125" hidden="1" customWidth="1"/>
  </cols>
  <sheetData>
    <row r="1" spans="1:50" ht="28" x14ac:dyDescent="0.15">
      <c r="A1" s="3" t="s">
        <v>0</v>
      </c>
      <c r="B1" s="3" t="s">
        <v>46</v>
      </c>
      <c r="C1" s="3" t="s">
        <v>100</v>
      </c>
      <c r="D1" s="4" t="s">
        <v>44</v>
      </c>
      <c r="E1" s="21" t="s">
        <v>3</v>
      </c>
      <c r="F1" s="21" t="s">
        <v>91</v>
      </c>
      <c r="G1" s="21" t="s">
        <v>4</v>
      </c>
      <c r="H1" s="21" t="s">
        <v>30</v>
      </c>
      <c r="I1" s="21" t="s">
        <v>5</v>
      </c>
      <c r="J1" s="21" t="s">
        <v>6</v>
      </c>
      <c r="K1" s="21" t="s">
        <v>7</v>
      </c>
      <c r="L1" s="21" t="s">
        <v>8</v>
      </c>
      <c r="M1" s="3" t="s">
        <v>9</v>
      </c>
      <c r="N1" s="5" t="s">
        <v>10</v>
      </c>
      <c r="O1" s="3" t="s">
        <v>15</v>
      </c>
      <c r="P1" s="5" t="s">
        <v>55</v>
      </c>
      <c r="Q1" s="5" t="s">
        <v>11</v>
      </c>
      <c r="R1" s="5" t="s">
        <v>56</v>
      </c>
      <c r="S1" s="5" t="s">
        <v>12</v>
      </c>
      <c r="T1" s="3" t="s">
        <v>13</v>
      </c>
      <c r="U1" s="36" t="s">
        <v>14</v>
      </c>
      <c r="V1" s="36"/>
      <c r="W1" s="3" t="s">
        <v>19</v>
      </c>
      <c r="X1" s="3" t="s">
        <v>90</v>
      </c>
      <c r="Y1" s="27" t="s">
        <v>87</v>
      </c>
      <c r="Z1" s="27" t="s">
        <v>86</v>
      </c>
      <c r="AA1" s="3" t="s">
        <v>88</v>
      </c>
      <c r="AB1" s="3" t="s">
        <v>101</v>
      </c>
      <c r="AC1" s="3"/>
      <c r="AD1" s="5" t="s">
        <v>37</v>
      </c>
      <c r="AE1" s="5" t="s">
        <v>38</v>
      </c>
      <c r="AF1" s="5" t="s">
        <v>39</v>
      </c>
      <c r="AG1" s="5" t="s">
        <v>40</v>
      </c>
      <c r="AH1" s="5" t="s">
        <v>41</v>
      </c>
      <c r="AI1" s="5" t="s">
        <v>42</v>
      </c>
      <c r="AJ1" s="5" t="s">
        <v>31</v>
      </c>
      <c r="AK1" s="5" t="s">
        <v>32</v>
      </c>
      <c r="AL1" s="5" t="s">
        <v>33</v>
      </c>
      <c r="AM1" s="5" t="s">
        <v>34</v>
      </c>
      <c r="AN1" s="5" t="s">
        <v>35</v>
      </c>
      <c r="AO1" s="5" t="s">
        <v>36</v>
      </c>
      <c r="AP1" s="22" t="s">
        <v>1</v>
      </c>
      <c r="AQ1" s="22" t="s">
        <v>2</v>
      </c>
      <c r="AR1" s="26" t="s">
        <v>54</v>
      </c>
      <c r="AS1" s="21" t="s">
        <v>16</v>
      </c>
      <c r="AT1" s="21" t="s">
        <v>17</v>
      </c>
      <c r="AU1" s="21" t="s">
        <v>18</v>
      </c>
      <c r="AV1" t="s">
        <v>97</v>
      </c>
      <c r="AW1" t="s">
        <v>96</v>
      </c>
      <c r="AX1" s="33" t="s">
        <v>98</v>
      </c>
    </row>
    <row r="2" spans="1:50" ht="20" x14ac:dyDescent="0.15">
      <c r="A2" s="37" t="s">
        <v>95</v>
      </c>
      <c r="B2" s="37"/>
      <c r="C2" s="34"/>
      <c r="AC2" s="6" t="s">
        <v>20</v>
      </c>
      <c r="AD2" s="7">
        <f>SUMIFS(AD11:AD100000,$L11:$L100000,"=beauftragt",$AW11:$AW100000,1)</f>
        <v>0</v>
      </c>
      <c r="AE2" s="7">
        <f t="shared" ref="AE2:AO2" si="0">SUMIFS(AE11:AE100000,$L11:$L100000,"=beauftragt",$AW11:$AW100000,1)</f>
        <v>0</v>
      </c>
      <c r="AF2" s="7">
        <f t="shared" si="0"/>
        <v>0</v>
      </c>
      <c r="AG2" s="7">
        <f t="shared" si="0"/>
        <v>0</v>
      </c>
      <c r="AH2" s="7">
        <f t="shared" si="0"/>
        <v>0</v>
      </c>
      <c r="AI2" s="7">
        <f t="shared" si="0"/>
        <v>0</v>
      </c>
      <c r="AJ2" s="7">
        <f t="shared" si="0"/>
        <v>0</v>
      </c>
      <c r="AK2" s="7">
        <f t="shared" si="0"/>
        <v>0</v>
      </c>
      <c r="AL2" s="7">
        <f t="shared" si="0"/>
        <v>0</v>
      </c>
      <c r="AM2" s="7">
        <f t="shared" si="0"/>
        <v>0</v>
      </c>
      <c r="AN2" s="7">
        <f t="shared" si="0"/>
        <v>0</v>
      </c>
      <c r="AO2" s="7">
        <f t="shared" si="0"/>
        <v>0</v>
      </c>
    </row>
    <row r="3" spans="1:50" x14ac:dyDescent="0.15">
      <c r="AC3" s="8" t="s">
        <v>21</v>
      </c>
      <c r="AD3" s="9">
        <f>SUMIFS(AD11:AD100000,$L11:$L100000,"=gelegt",$AW11:$AW100000,1)</f>
        <v>0</v>
      </c>
      <c r="AE3" s="9">
        <f t="shared" ref="AE3:AO3" si="1">SUMIFS(AE11:AE100000,$L11:$L100000,"=gelegt",$AW11:$AW100000,1)</f>
        <v>0</v>
      </c>
      <c r="AF3" s="9">
        <f t="shared" si="1"/>
        <v>0</v>
      </c>
      <c r="AG3" s="9">
        <f t="shared" si="1"/>
        <v>0</v>
      </c>
      <c r="AH3" s="9">
        <f t="shared" si="1"/>
        <v>0</v>
      </c>
      <c r="AI3" s="9">
        <f t="shared" si="1"/>
        <v>0</v>
      </c>
      <c r="AJ3" s="9">
        <f t="shared" si="1"/>
        <v>0</v>
      </c>
      <c r="AK3" s="9">
        <f t="shared" si="1"/>
        <v>0</v>
      </c>
      <c r="AL3" s="9">
        <f t="shared" si="1"/>
        <v>0</v>
      </c>
      <c r="AM3" s="9">
        <f t="shared" si="1"/>
        <v>0</v>
      </c>
      <c r="AN3" s="9">
        <f t="shared" si="1"/>
        <v>0</v>
      </c>
      <c r="AO3" s="9">
        <f t="shared" si="1"/>
        <v>0</v>
      </c>
    </row>
    <row r="4" spans="1:50" x14ac:dyDescent="0.15">
      <c r="AC4" s="6" t="s">
        <v>22</v>
      </c>
      <c r="AD4" s="7">
        <f>SUMIFS(AD11:AD100000,$L11:$L100000,"=LOI",$AW11:$AW100000,1)</f>
        <v>0</v>
      </c>
      <c r="AE4" s="7">
        <f t="shared" ref="AE4:AO4" si="2">SUMIFS(AE11:AE100000,$L11:$L100000,"=LOI",$AW11:$AW100000,1)</f>
        <v>0</v>
      </c>
      <c r="AF4" s="7">
        <f t="shared" si="2"/>
        <v>0</v>
      </c>
      <c r="AG4" s="7">
        <f t="shared" si="2"/>
        <v>0</v>
      </c>
      <c r="AH4" s="7">
        <f t="shared" si="2"/>
        <v>0</v>
      </c>
      <c r="AI4" s="7">
        <f t="shared" si="2"/>
        <v>0</v>
      </c>
      <c r="AJ4" s="7">
        <f t="shared" si="2"/>
        <v>0</v>
      </c>
      <c r="AK4" s="7">
        <f t="shared" si="2"/>
        <v>0</v>
      </c>
      <c r="AL4" s="7">
        <f t="shared" si="2"/>
        <v>0</v>
      </c>
      <c r="AM4" s="7">
        <f t="shared" si="2"/>
        <v>0</v>
      </c>
      <c r="AN4" s="7">
        <f t="shared" si="2"/>
        <v>0</v>
      </c>
      <c r="AO4" s="7">
        <f t="shared" si="2"/>
        <v>0</v>
      </c>
    </row>
    <row r="5" spans="1:50" x14ac:dyDescent="0.15">
      <c r="AC5" s="8" t="s">
        <v>43</v>
      </c>
      <c r="AD5" s="9">
        <f>SUMIFS(AD11:AD100000,$L11:$L100000,"=in Erstellung",$AW11:$AW100000,1)</f>
        <v>0</v>
      </c>
      <c r="AE5" s="9">
        <f t="shared" ref="AE5:AO5" si="3">SUMIFS(AE11:AE100000,$L11:$L100000,"=in Erstellung",$AW11:$AW100000,1)</f>
        <v>0</v>
      </c>
      <c r="AF5" s="9">
        <f t="shared" si="3"/>
        <v>0</v>
      </c>
      <c r="AG5" s="9">
        <f t="shared" si="3"/>
        <v>0</v>
      </c>
      <c r="AH5" s="9">
        <f t="shared" si="3"/>
        <v>0</v>
      </c>
      <c r="AI5" s="9">
        <f t="shared" si="3"/>
        <v>0</v>
      </c>
      <c r="AJ5" s="9">
        <f t="shared" si="3"/>
        <v>0</v>
      </c>
      <c r="AK5" s="9">
        <f t="shared" si="3"/>
        <v>0</v>
      </c>
      <c r="AL5" s="9">
        <f t="shared" si="3"/>
        <v>0</v>
      </c>
      <c r="AM5" s="9">
        <f t="shared" si="3"/>
        <v>0</v>
      </c>
      <c r="AN5" s="9">
        <f t="shared" si="3"/>
        <v>0</v>
      </c>
      <c r="AO5" s="9">
        <f t="shared" si="3"/>
        <v>0</v>
      </c>
    </row>
    <row r="6" spans="1:50" x14ac:dyDescent="0.15">
      <c r="AC6" s="10" t="s">
        <v>23</v>
      </c>
      <c r="AD6" s="11">
        <f>SUMIFS(AD11:AD100000,$L11:$L100000,"=Potenzial",$AW11:$AW100000,1)</f>
        <v>0</v>
      </c>
      <c r="AE6" s="11">
        <f t="shared" ref="AE6:AO6" si="4">SUMIFS(AE11:AE100000,$L11:$L100000,"=Potenzial",$AW11:$AW100000,1)</f>
        <v>0</v>
      </c>
      <c r="AF6" s="11">
        <f t="shared" si="4"/>
        <v>0</v>
      </c>
      <c r="AG6" s="11">
        <f t="shared" si="4"/>
        <v>0</v>
      </c>
      <c r="AH6" s="11">
        <f t="shared" si="4"/>
        <v>0</v>
      </c>
      <c r="AI6" s="11">
        <f t="shared" si="4"/>
        <v>0</v>
      </c>
      <c r="AJ6" s="11">
        <f t="shared" si="4"/>
        <v>0</v>
      </c>
      <c r="AK6" s="11">
        <f t="shared" si="4"/>
        <v>0</v>
      </c>
      <c r="AL6" s="11">
        <f t="shared" si="4"/>
        <v>0</v>
      </c>
      <c r="AM6" s="11">
        <f t="shared" si="4"/>
        <v>0</v>
      </c>
      <c r="AN6" s="11">
        <f t="shared" si="4"/>
        <v>0</v>
      </c>
      <c r="AO6" s="11">
        <f t="shared" si="4"/>
        <v>0</v>
      </c>
    </row>
    <row r="7" spans="1:50" x14ac:dyDescent="0.15">
      <c r="AC7" s="12" t="s">
        <v>27</v>
      </c>
      <c r="AD7" s="9">
        <f t="shared" ref="AD7:AO7" si="5">SUM(AD2:AD6)</f>
        <v>0</v>
      </c>
      <c r="AE7" s="9">
        <f t="shared" si="5"/>
        <v>0</v>
      </c>
      <c r="AF7" s="9">
        <f t="shared" si="5"/>
        <v>0</v>
      </c>
      <c r="AG7" s="9">
        <f t="shared" si="5"/>
        <v>0</v>
      </c>
      <c r="AH7" s="9">
        <f t="shared" si="5"/>
        <v>0</v>
      </c>
      <c r="AI7" s="9">
        <f t="shared" si="5"/>
        <v>0</v>
      </c>
      <c r="AJ7" s="9">
        <f t="shared" si="5"/>
        <v>0</v>
      </c>
      <c r="AK7" s="9">
        <f t="shared" si="5"/>
        <v>0</v>
      </c>
      <c r="AL7" s="9">
        <f t="shared" si="5"/>
        <v>0</v>
      </c>
      <c r="AM7" s="9">
        <f t="shared" si="5"/>
        <v>0</v>
      </c>
      <c r="AN7" s="9">
        <f t="shared" si="5"/>
        <v>0</v>
      </c>
      <c r="AO7" s="9">
        <f t="shared" si="5"/>
        <v>0</v>
      </c>
    </row>
    <row r="8" spans="1:50" x14ac:dyDescent="0.15">
      <c r="AC8" s="13" t="s">
        <v>25</v>
      </c>
      <c r="AD8" s="14">
        <f>SUMIFS(Rechnungen!M:M, Rechnungen!$Z:$Z, TRUE)</f>
        <v>0</v>
      </c>
      <c r="AE8" s="14">
        <f>SUMIFS(Rechnungen!N:N, Rechnungen!$Z:$Z, TRUE)</f>
        <v>0</v>
      </c>
      <c r="AF8" s="14">
        <f>SUMIFS(Rechnungen!O:O, Rechnungen!$Z:$Z, TRUE)</f>
        <v>0</v>
      </c>
      <c r="AG8" s="14">
        <f>SUMIFS(Rechnungen!P:P, Rechnungen!$Z:$Z, TRUE)</f>
        <v>0</v>
      </c>
      <c r="AH8" s="14">
        <f>SUMIFS(Rechnungen!Q:Q, Rechnungen!$Z:$Z, TRUE)</f>
        <v>0</v>
      </c>
      <c r="AI8" s="14">
        <f>SUMIFS(Rechnungen!R:R, Rechnungen!$Z:$Z, TRUE)</f>
        <v>0</v>
      </c>
      <c r="AJ8" s="14">
        <f>SUMIFS(Rechnungen!S:S, Rechnungen!$Z:$Z, TRUE)</f>
        <v>0</v>
      </c>
      <c r="AK8" s="14">
        <f>SUMIFS(Rechnungen!T:T, Rechnungen!$Z:$Z, TRUE)</f>
        <v>0</v>
      </c>
      <c r="AL8" s="14">
        <f>SUMIFS(Rechnungen!U:U, Rechnungen!$Z:$Z, TRUE)</f>
        <v>0</v>
      </c>
      <c r="AM8" s="14">
        <f>SUMIFS(Rechnungen!V:V, Rechnungen!$Z:$Z, TRUE)</f>
        <v>0</v>
      </c>
      <c r="AN8" s="14">
        <f>SUMIFS(Rechnungen!W:W, Rechnungen!$Z:$Z, TRUE)</f>
        <v>0</v>
      </c>
      <c r="AO8" s="14">
        <f>SUMIFS(Rechnungen!X:X, Rechnungen!$Z:$Z, TRUE)</f>
        <v>0</v>
      </c>
    </row>
    <row r="9" spans="1:50" x14ac:dyDescent="0.15">
      <c r="AC9" s="15" t="s">
        <v>26</v>
      </c>
      <c r="AD9" s="16">
        <f ca="1">Planning_Data!AD7</f>
        <v>0</v>
      </c>
      <c r="AE9" s="16">
        <f ca="1">Planning_Data!AE7</f>
        <v>0</v>
      </c>
      <c r="AF9" s="16">
        <f ca="1">Planning_Data!AF7</f>
        <v>0</v>
      </c>
      <c r="AG9" s="16">
        <f ca="1">Planning_Data!AG7</f>
        <v>0</v>
      </c>
      <c r="AH9" s="16">
        <f ca="1">Planning_Data!AH7</f>
        <v>0</v>
      </c>
      <c r="AI9" s="16">
        <f ca="1">Planning_Data!AI7</f>
        <v>0</v>
      </c>
      <c r="AJ9" s="16">
        <f ca="1">Planning_Data!AJ7</f>
        <v>0</v>
      </c>
      <c r="AK9" s="16">
        <f ca="1">Planning_Data!AK7</f>
        <v>0</v>
      </c>
      <c r="AL9" s="16">
        <f ca="1">Planning_Data!AL7</f>
        <v>0</v>
      </c>
      <c r="AM9" s="16">
        <f ca="1">Planning_Data!AM7</f>
        <v>0</v>
      </c>
      <c r="AN9" s="16">
        <f ca="1">Planning_Data!AN7</f>
        <v>0</v>
      </c>
      <c r="AO9" s="16">
        <f ca="1">Planning_Data!AO7</f>
        <v>0</v>
      </c>
    </row>
    <row r="10" spans="1:50" ht="28" x14ac:dyDescent="0.15">
      <c r="A10" s="3" t="s">
        <v>0</v>
      </c>
      <c r="B10" s="3" t="s">
        <v>46</v>
      </c>
      <c r="C10" s="3" t="s">
        <v>100</v>
      </c>
      <c r="D10" s="4" t="s">
        <v>44</v>
      </c>
      <c r="E10" s="21" t="s">
        <v>3</v>
      </c>
      <c r="F10" s="21" t="s">
        <v>91</v>
      </c>
      <c r="G10" s="21" t="s">
        <v>4</v>
      </c>
      <c r="H10" s="21" t="s">
        <v>30</v>
      </c>
      <c r="I10" s="21" t="s">
        <v>5</v>
      </c>
      <c r="J10" s="21" t="s">
        <v>6</v>
      </c>
      <c r="K10" s="21" t="s">
        <v>7</v>
      </c>
      <c r="L10" s="21" t="s">
        <v>8</v>
      </c>
      <c r="M10" s="3" t="s">
        <v>9</v>
      </c>
      <c r="N10" s="5" t="s">
        <v>10</v>
      </c>
      <c r="O10" s="3" t="s">
        <v>15</v>
      </c>
      <c r="P10" s="5" t="s">
        <v>55</v>
      </c>
      <c r="Q10" s="5" t="s">
        <v>11</v>
      </c>
      <c r="R10" s="5" t="s">
        <v>56</v>
      </c>
      <c r="S10" s="5" t="s">
        <v>12</v>
      </c>
      <c r="T10" s="3" t="s">
        <v>13</v>
      </c>
      <c r="U10" s="36" t="s">
        <v>14</v>
      </c>
      <c r="V10" s="36"/>
      <c r="W10" s="3" t="s">
        <v>19</v>
      </c>
      <c r="X10" s="3" t="s">
        <v>90</v>
      </c>
      <c r="Y10" s="27" t="s">
        <v>87</v>
      </c>
      <c r="Z10" s="27" t="s">
        <v>86</v>
      </c>
      <c r="AA10" s="3" t="s">
        <v>88</v>
      </c>
      <c r="AB10" s="3" t="s">
        <v>101</v>
      </c>
      <c r="AC10" s="3"/>
      <c r="AD10" s="5" t="s">
        <v>37</v>
      </c>
      <c r="AE10" s="5" t="s">
        <v>38</v>
      </c>
      <c r="AF10" s="5" t="s">
        <v>39</v>
      </c>
      <c r="AG10" s="5" t="s">
        <v>40</v>
      </c>
      <c r="AH10" s="5" t="s">
        <v>41</v>
      </c>
      <c r="AI10" s="5" t="s">
        <v>42</v>
      </c>
      <c r="AJ10" s="5" t="s">
        <v>31</v>
      </c>
      <c r="AK10" s="5" t="s">
        <v>32</v>
      </c>
      <c r="AL10" s="5" t="s">
        <v>33</v>
      </c>
      <c r="AM10" s="5" t="s">
        <v>34</v>
      </c>
      <c r="AN10" s="5" t="s">
        <v>35</v>
      </c>
      <c r="AO10" s="5" t="s">
        <v>36</v>
      </c>
      <c r="AP10" s="22" t="s">
        <v>1</v>
      </c>
      <c r="AQ10" s="22" t="s">
        <v>2</v>
      </c>
      <c r="AR10" s="26" t="s">
        <v>54</v>
      </c>
      <c r="AS10" s="21" t="s">
        <v>16</v>
      </c>
      <c r="AT10" s="21" t="s">
        <v>17</v>
      </c>
      <c r="AU10" s="21" t="s">
        <v>18</v>
      </c>
      <c r="AV10" t="s">
        <v>97</v>
      </c>
      <c r="AW10" t="s">
        <v>96</v>
      </c>
      <c r="AX10" s="33" t="s">
        <v>98</v>
      </c>
    </row>
  </sheetData>
  <sheetProtection selectLockedCells="1" selectUnlockedCells="1"/>
  <mergeCells count="3">
    <mergeCell ref="U1:V1"/>
    <mergeCell ref="A2:B2"/>
    <mergeCell ref="U10:V10"/>
  </mergeCells>
  <pageMargins left="0.74791666666666667" right="0.74791666666666667" top="0.98402777777777772" bottom="0.98402777777777772" header="0.51180555555555551" footer="0.51180555555555551"/>
  <pageSetup paperSize="9" firstPageNumber="0" orientation="portrait" horizontalDpi="300" verticalDpi="300"/>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59B1-08CA-EA4F-869F-EEF1D58EF8E3}">
  <sheetPr>
    <pageSetUpPr fitToPage="1"/>
  </sheetPr>
  <dimension ref="A1"/>
  <sheetViews>
    <sheetView tabSelected="1" topLeftCell="A33" workbookViewId="0"/>
  </sheetViews>
  <sheetFormatPr baseColWidth="10" defaultColWidth="11" defaultRowHeight="13" x14ac:dyDescent="0.15"/>
  <cols>
    <col min="18" max="18" width="23.6640625" bestFit="1" customWidth="1"/>
  </cols>
  <sheetData/>
  <sheetProtection selectLockedCells="1" selectUnlockedCells="1"/>
  <pageMargins left="0.78740157499999996" right="0.78740157499999996" top="0.98402777777777772" bottom="0.98402777777777772" header="0.51180555555555551" footer="0.51180555555555551"/>
  <pageSetup paperSize="9" firstPageNumber="0" fitToHeight="4" orientation="landscape"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
  <sheetViews>
    <sheetView workbookViewId="0"/>
  </sheetViews>
  <sheetFormatPr baseColWidth="10" defaultColWidth="11" defaultRowHeight="13" x14ac:dyDescent="0.15"/>
  <sheetData/>
  <sheetProtection selectLockedCells="1" selectUnlockedCells="1"/>
  <pageMargins left="0.78740157499999996" right="0.78740157499999996" top="0.98402777777777772" bottom="0.98402777777777772" header="0.51180555555555551" footer="0.51180555555555551"/>
  <pageSetup paperSize="9" firstPageNumber="0" fitToHeight="4" orientation="landscape"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C72B2-1160-034C-812E-DF118ACD5A10}">
  <dimension ref="A1:J1"/>
  <sheetViews>
    <sheetView workbookViewId="0">
      <selection activeCell="A2" sqref="A2"/>
    </sheetView>
  </sheetViews>
  <sheetFormatPr baseColWidth="10" defaultRowHeight="13" x14ac:dyDescent="0.15"/>
  <cols>
    <col min="1" max="1" width="19.6640625" customWidth="1"/>
    <col min="2" max="2" width="29.33203125" customWidth="1"/>
    <col min="3" max="3" width="40.33203125" customWidth="1"/>
    <col min="4" max="10" width="18" customWidth="1"/>
    <col min="11" max="11" width="17.6640625" bestFit="1" customWidth="1"/>
  </cols>
  <sheetData>
    <row r="1" spans="1:10" ht="14" x14ac:dyDescent="0.15">
      <c r="A1" s="3" t="s">
        <v>100</v>
      </c>
      <c r="B1" s="4" t="s">
        <v>44</v>
      </c>
      <c r="C1" s="21" t="s">
        <v>3</v>
      </c>
      <c r="D1" s="21" t="s">
        <v>106</v>
      </c>
      <c r="E1" s="21" t="s">
        <v>105</v>
      </c>
      <c r="F1" s="21" t="s">
        <v>109</v>
      </c>
      <c r="G1" s="21" t="s">
        <v>52</v>
      </c>
      <c r="H1" s="21" t="s">
        <v>107</v>
      </c>
      <c r="I1" s="21" t="s">
        <v>102</v>
      </c>
      <c r="J1" s="21" t="s">
        <v>108</v>
      </c>
    </row>
  </sheetData>
  <autoFilter ref="A1:J1" xr:uid="{7CAC72B2-1160-034C-812E-DF118ACD5A10}"/>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selection activeCell="A12" sqref="A12"/>
    </sheetView>
  </sheetViews>
  <sheetFormatPr baseColWidth="10" defaultColWidth="11" defaultRowHeight="13" x14ac:dyDescent="0.15"/>
  <cols>
    <col min="1" max="1" width="18.5" style="13" customWidth="1"/>
    <col min="2" max="13" width="17" customWidth="1"/>
  </cols>
  <sheetData>
    <row r="1" spans="1:13" s="13" customFormat="1" x14ac:dyDescent="0.15">
      <c r="B1" s="23" t="str">
        <f>Forecast_Data!AD1</f>
        <v>Month 1</v>
      </c>
      <c r="C1" s="23" t="str">
        <f>Forecast_Data!AE1</f>
        <v>Month 2</v>
      </c>
      <c r="D1" s="23" t="str">
        <f>Forecast_Data!AF1</f>
        <v>Month 3</v>
      </c>
      <c r="E1" s="23" t="str">
        <f>Forecast_Data!AG1</f>
        <v>Month 4</v>
      </c>
      <c r="F1" s="23" t="str">
        <f>Forecast_Data!AH1</f>
        <v>Month 5</v>
      </c>
      <c r="G1" s="23" t="str">
        <f>Forecast_Data!AI1</f>
        <v>Month 6</v>
      </c>
      <c r="H1" s="23" t="str">
        <f>Forecast_Data!AJ1</f>
        <v>Month 7</v>
      </c>
      <c r="I1" s="23" t="str">
        <f>Forecast_Data!AK1</f>
        <v>Month 8</v>
      </c>
      <c r="J1" s="23" t="str">
        <f>Forecast_Data!AL1</f>
        <v>Month 9</v>
      </c>
      <c r="K1" s="23" t="str">
        <f>Forecast_Data!AM1</f>
        <v>Month 10</v>
      </c>
      <c r="L1" s="23" t="str">
        <f>Forecast_Data!AN1</f>
        <v>Month 11</v>
      </c>
      <c r="M1" s="23" t="str">
        <f>Forecast_Data!AO1</f>
        <v>Month 12</v>
      </c>
    </row>
    <row r="2" spans="1:13" x14ac:dyDescent="0.15">
      <c r="A2" s="24" t="s">
        <v>25</v>
      </c>
      <c r="B2" s="17">
        <f>Forecast_Data!AD8</f>
        <v>0</v>
      </c>
      <c r="C2" s="17">
        <f>Forecast_Data!AE8</f>
        <v>0</v>
      </c>
      <c r="D2" s="17">
        <f>Forecast_Data!AF8</f>
        <v>0</v>
      </c>
      <c r="E2" s="17">
        <f>Forecast_Data!AG8</f>
        <v>0</v>
      </c>
      <c r="F2" s="17">
        <f>Forecast_Data!AH8</f>
        <v>0</v>
      </c>
      <c r="G2" s="17">
        <f>Forecast_Data!AI8</f>
        <v>0</v>
      </c>
      <c r="H2" s="17">
        <f>Forecast_Data!AJ8</f>
        <v>0</v>
      </c>
      <c r="I2" s="17">
        <f>Forecast_Data!AK8</f>
        <v>0</v>
      </c>
      <c r="J2" s="17">
        <f>Forecast_Data!AL8</f>
        <v>0</v>
      </c>
      <c r="K2" s="17">
        <f>Forecast_Data!AM8</f>
        <v>0</v>
      </c>
      <c r="L2" s="17">
        <f>Forecast_Data!AN8</f>
        <v>0</v>
      </c>
      <c r="M2" s="17">
        <f>Forecast_Data!AO8</f>
        <v>0</v>
      </c>
    </row>
    <row r="3" spans="1:13" x14ac:dyDescent="0.15">
      <c r="A3" s="24" t="s">
        <v>24</v>
      </c>
      <c r="B3" s="18">
        <f>Forecast_Data!AD7</f>
        <v>0</v>
      </c>
      <c r="C3" s="18">
        <f>Forecast_Data!AE7</f>
        <v>0</v>
      </c>
      <c r="D3" s="18">
        <f>Forecast_Data!AF7</f>
        <v>0</v>
      </c>
      <c r="E3" s="18">
        <f>Forecast_Data!AG7</f>
        <v>0</v>
      </c>
      <c r="F3" s="18">
        <f>Forecast_Data!AH7</f>
        <v>0</v>
      </c>
      <c r="G3" s="18">
        <f>Forecast_Data!AI7</f>
        <v>0</v>
      </c>
      <c r="H3" s="18">
        <f>Forecast_Data!AJ7</f>
        <v>0</v>
      </c>
      <c r="I3" s="18">
        <f>Forecast_Data!AK7</f>
        <v>0</v>
      </c>
      <c r="J3" s="18">
        <f>Forecast_Data!AL7</f>
        <v>0</v>
      </c>
      <c r="K3" s="18">
        <f>Forecast_Data!AM7</f>
        <v>0</v>
      </c>
      <c r="L3" s="18">
        <f>Forecast_Data!AN7</f>
        <v>0</v>
      </c>
      <c r="M3" s="18">
        <f>Forecast_Data!AO7</f>
        <v>0</v>
      </c>
    </row>
    <row r="4" spans="1:13" x14ac:dyDescent="0.15">
      <c r="A4" s="24" t="s">
        <v>27</v>
      </c>
      <c r="B4" s="18">
        <f>B2+B3</f>
        <v>0</v>
      </c>
      <c r="C4" s="18">
        <f t="shared" ref="C4:M4" si="0">C2+C3</f>
        <v>0</v>
      </c>
      <c r="D4" s="18">
        <f t="shared" si="0"/>
        <v>0</v>
      </c>
      <c r="E4" s="18">
        <f t="shared" si="0"/>
        <v>0</v>
      </c>
      <c r="F4" s="18">
        <f t="shared" si="0"/>
        <v>0</v>
      </c>
      <c r="G4" s="18">
        <f t="shared" si="0"/>
        <v>0</v>
      </c>
      <c r="H4" s="18">
        <f t="shared" si="0"/>
        <v>0</v>
      </c>
      <c r="I4" s="18">
        <f t="shared" si="0"/>
        <v>0</v>
      </c>
      <c r="J4" s="18">
        <f t="shared" si="0"/>
        <v>0</v>
      </c>
      <c r="K4" s="18">
        <f t="shared" si="0"/>
        <v>0</v>
      </c>
      <c r="L4" s="18">
        <f t="shared" si="0"/>
        <v>0</v>
      </c>
      <c r="M4" s="18">
        <f t="shared" si="0"/>
        <v>0</v>
      </c>
    </row>
    <row r="5" spans="1:13" x14ac:dyDescent="0.15">
      <c r="A5" s="13" t="s">
        <v>28</v>
      </c>
      <c r="B5" s="19">
        <f>B4</f>
        <v>0</v>
      </c>
      <c r="C5" s="19">
        <f>B5+C4</f>
        <v>0</v>
      </c>
      <c r="D5" s="19">
        <f t="shared" ref="D5:M5" si="1">C5+D4</f>
        <v>0</v>
      </c>
      <c r="E5" s="19">
        <f t="shared" si="1"/>
        <v>0</v>
      </c>
      <c r="F5" s="19">
        <f t="shared" si="1"/>
        <v>0</v>
      </c>
      <c r="G5" s="19">
        <f t="shared" si="1"/>
        <v>0</v>
      </c>
      <c r="H5" s="19">
        <f t="shared" si="1"/>
        <v>0</v>
      </c>
      <c r="I5" s="19">
        <f t="shared" si="1"/>
        <v>0</v>
      </c>
      <c r="J5" s="19">
        <f t="shared" si="1"/>
        <v>0</v>
      </c>
      <c r="K5" s="19">
        <f t="shared" si="1"/>
        <v>0</v>
      </c>
      <c r="L5" s="19">
        <f t="shared" si="1"/>
        <v>0</v>
      </c>
      <c r="M5" s="19">
        <f t="shared" si="1"/>
        <v>0</v>
      </c>
    </row>
    <row r="6" spans="1:13" x14ac:dyDescent="0.15">
      <c r="A6" s="13" t="s">
        <v>29</v>
      </c>
      <c r="B6" s="19">
        <f ca="1">Forecast_Data!AD9</f>
        <v>0</v>
      </c>
      <c r="C6" s="19">
        <f ca="1">B6+Forecast_Data!AE9</f>
        <v>0</v>
      </c>
      <c r="D6" s="19">
        <f ca="1">C6+Forecast_Data!AF9</f>
        <v>0</v>
      </c>
      <c r="E6" s="19">
        <f ca="1">D6+Forecast_Data!AG9</f>
        <v>0</v>
      </c>
      <c r="F6" s="19">
        <f ca="1">E6+Forecast_Data!AH9</f>
        <v>0</v>
      </c>
      <c r="G6" s="19">
        <f ca="1">F6+Forecast_Data!AI9</f>
        <v>0</v>
      </c>
      <c r="H6" s="19">
        <f ca="1">G6+Forecast_Data!AJ9</f>
        <v>0</v>
      </c>
      <c r="I6" s="19">
        <f ca="1">H6+Forecast_Data!AK9</f>
        <v>0</v>
      </c>
      <c r="J6" s="19">
        <f ca="1">I6+Forecast_Data!AL9</f>
        <v>0</v>
      </c>
      <c r="K6" s="19">
        <f ca="1">J6+Forecast_Data!AM9</f>
        <v>0</v>
      </c>
      <c r="L6" s="19">
        <f ca="1">K6+Forecast_Data!AN9</f>
        <v>0</v>
      </c>
      <c r="M6" s="19">
        <f ca="1">L6+Forecast_Data!AO9</f>
        <v>0</v>
      </c>
    </row>
    <row r="7" spans="1:13" x14ac:dyDescent="0.15">
      <c r="C7" s="19"/>
      <c r="D7" s="19"/>
      <c r="E7" s="19"/>
      <c r="F7" s="19"/>
      <c r="G7" s="19"/>
      <c r="H7" s="19"/>
      <c r="I7" s="19"/>
      <c r="J7" s="19"/>
      <c r="K7" s="19"/>
      <c r="L7" s="19"/>
      <c r="M7" s="19"/>
    </row>
    <row r="8" spans="1:13" x14ac:dyDescent="0.15">
      <c r="A8" s="13" t="s">
        <v>52</v>
      </c>
      <c r="B8" s="19">
        <f>SUMIFS('Rechnungen Vorjahr'!M:M, 'Rechnungen Vorjahr'!$Z:$Z, TRUE)</f>
        <v>0</v>
      </c>
      <c r="C8" s="19">
        <f>SUMIFS('Rechnungen Vorjahr'!N:N, 'Rechnungen Vorjahr'!$Z:$Z, TRUE)</f>
        <v>0</v>
      </c>
      <c r="D8" s="19">
        <f>SUMIFS('Rechnungen Vorjahr'!O:O, 'Rechnungen Vorjahr'!$Z:$Z, TRUE)</f>
        <v>0</v>
      </c>
      <c r="E8" s="19">
        <f>SUMIFS('Rechnungen Vorjahr'!P:P, 'Rechnungen Vorjahr'!$Z:$Z, TRUE)</f>
        <v>0</v>
      </c>
      <c r="F8" s="19">
        <f>SUMIFS('Rechnungen Vorjahr'!Q:Q, 'Rechnungen Vorjahr'!$Z:$Z, TRUE)</f>
        <v>0</v>
      </c>
      <c r="G8" s="19">
        <f>SUMIFS('Rechnungen Vorjahr'!R:R, 'Rechnungen Vorjahr'!$Z:$Z, TRUE)</f>
        <v>0</v>
      </c>
      <c r="H8" s="19">
        <f>SUMIFS('Rechnungen Vorjahr'!S:S, 'Rechnungen Vorjahr'!$Z:$Z, TRUE)</f>
        <v>0</v>
      </c>
      <c r="I8" s="19">
        <f>SUMIFS('Rechnungen Vorjahr'!T:T, 'Rechnungen Vorjahr'!$Z:$Z, TRUE)</f>
        <v>0</v>
      </c>
      <c r="J8" s="19">
        <f>SUMIFS('Rechnungen Vorjahr'!U:U, 'Rechnungen Vorjahr'!$Z:$Z, TRUE)</f>
        <v>0</v>
      </c>
      <c r="K8" s="19">
        <f>SUMIFS('Rechnungen Vorjahr'!V:V, 'Rechnungen Vorjahr'!$Z:$Z, TRUE)</f>
        <v>0</v>
      </c>
      <c r="L8" s="19">
        <f>SUMIFS('Rechnungen Vorjahr'!W:W, 'Rechnungen Vorjahr'!$Z:$Z, TRUE)</f>
        <v>0</v>
      </c>
      <c r="M8" s="19">
        <f>SUMIFS('Rechnungen Vorjahr'!X:X, 'Rechnungen Vorjahr'!$Z:$Z, TRUE)</f>
        <v>0</v>
      </c>
    </row>
    <row r="9" spans="1:13" x14ac:dyDescent="0.15">
      <c r="A9" s="13" t="s">
        <v>53</v>
      </c>
      <c r="B9" s="19">
        <f>B8</f>
        <v>0</v>
      </c>
      <c r="C9" s="25">
        <f>B9+C8</f>
        <v>0</v>
      </c>
      <c r="D9" s="25">
        <f t="shared" ref="D9:M9" si="2">C9+D8</f>
        <v>0</v>
      </c>
      <c r="E9" s="25">
        <f t="shared" si="2"/>
        <v>0</v>
      </c>
      <c r="F9" s="25">
        <f t="shared" si="2"/>
        <v>0</v>
      </c>
      <c r="G9" s="25">
        <f t="shared" si="2"/>
        <v>0</v>
      </c>
      <c r="H9" s="25">
        <f t="shared" si="2"/>
        <v>0</v>
      </c>
      <c r="I9" s="25">
        <f t="shared" si="2"/>
        <v>0</v>
      </c>
      <c r="J9" s="25">
        <f t="shared" si="2"/>
        <v>0</v>
      </c>
      <c r="K9" s="25">
        <f t="shared" si="2"/>
        <v>0</v>
      </c>
      <c r="L9" s="25">
        <f t="shared" si="2"/>
        <v>0</v>
      </c>
      <c r="M9" s="25">
        <f t="shared" si="2"/>
        <v>0</v>
      </c>
    </row>
    <row r="11" spans="1:13" x14ac:dyDescent="0.15">
      <c r="A11" s="13" t="s">
        <v>102</v>
      </c>
      <c r="B11">
        <f>SUMIFS('Rechnungen Vorvorjahr'!M:M, 'Rechnungen Vorvorjahr'!$Z:$Z, TRUE)</f>
        <v>0</v>
      </c>
      <c r="C11">
        <f>SUMIFS('Rechnungen Vorvorjahr'!N:N, 'Rechnungen Vorvorjahr'!$Z:$Z, TRUE)</f>
        <v>0</v>
      </c>
      <c r="D11">
        <f>SUMIFS('Rechnungen Vorvorjahr'!O:O, 'Rechnungen Vorvorjahr'!$Z:$Z, TRUE)</f>
        <v>0</v>
      </c>
      <c r="E11">
        <f>SUMIFS('Rechnungen Vorvorjahr'!P:P, 'Rechnungen Vorvorjahr'!$Z:$Z, TRUE)</f>
        <v>0</v>
      </c>
      <c r="F11">
        <f>SUMIFS('Rechnungen Vorvorjahr'!Q:Q, 'Rechnungen Vorvorjahr'!$Z:$Z, TRUE)</f>
        <v>0</v>
      </c>
      <c r="G11">
        <f>SUMIFS('Rechnungen Vorvorjahr'!R:R, 'Rechnungen Vorvorjahr'!$Z:$Z, TRUE)</f>
        <v>0</v>
      </c>
      <c r="H11">
        <f>SUMIFS('Rechnungen Vorvorjahr'!S:S, 'Rechnungen Vorvorjahr'!$Z:$Z, TRUE)</f>
        <v>0</v>
      </c>
      <c r="I11">
        <f>SUMIFS('Rechnungen Vorvorjahr'!T:T, 'Rechnungen Vorvorjahr'!$Z:$Z, TRUE)</f>
        <v>0</v>
      </c>
      <c r="J11">
        <f>SUMIFS('Rechnungen Vorvorjahr'!U:U, 'Rechnungen Vorvorjahr'!$Z:$Z, TRUE)</f>
        <v>0</v>
      </c>
      <c r="K11">
        <f>SUMIFS('Rechnungen Vorvorjahr'!V:V, 'Rechnungen Vorvorjahr'!$Z:$Z, TRUE)</f>
        <v>0</v>
      </c>
      <c r="L11">
        <f>SUMIFS('Rechnungen Vorvorjahr'!W:W, 'Rechnungen Vorvorjahr'!$Z:$Z, TRUE)</f>
        <v>0</v>
      </c>
      <c r="M11">
        <f>SUMIFS('Rechnungen Vorvorjahr'!X:X, 'Rechnungen Vorvorjahr'!$Z:$Z, TRUE)</f>
        <v>0</v>
      </c>
    </row>
    <row r="12" spans="1:13" x14ac:dyDescent="0.15">
      <c r="A12" s="13" t="s">
        <v>103</v>
      </c>
      <c r="B12" s="19">
        <f>B11</f>
        <v>0</v>
      </c>
      <c r="C12" s="25">
        <f>B12+C11</f>
        <v>0</v>
      </c>
      <c r="D12" s="25">
        <f t="shared" ref="D12:M12" si="3">C12+D11</f>
        <v>0</v>
      </c>
      <c r="E12" s="25">
        <f t="shared" si="3"/>
        <v>0</v>
      </c>
      <c r="F12" s="25">
        <f t="shared" si="3"/>
        <v>0</v>
      </c>
      <c r="G12" s="25">
        <f t="shared" si="3"/>
        <v>0</v>
      </c>
      <c r="H12" s="25">
        <f t="shared" si="3"/>
        <v>0</v>
      </c>
      <c r="I12" s="25">
        <f t="shared" si="3"/>
        <v>0</v>
      </c>
      <c r="J12" s="25">
        <f t="shared" si="3"/>
        <v>0</v>
      </c>
      <c r="K12" s="25">
        <f t="shared" si="3"/>
        <v>0</v>
      </c>
      <c r="L12" s="25">
        <f t="shared" si="3"/>
        <v>0</v>
      </c>
      <c r="M12" s="25">
        <f t="shared" si="3"/>
        <v>0</v>
      </c>
    </row>
    <row r="13" spans="1:13" x14ac:dyDescent="0.15">
      <c r="C13" s="25"/>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FD20-C3FD-B945-8889-0EABEB8C212C}">
  <dimension ref="A1:Z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RowHeight="13" x14ac:dyDescent="0.15"/>
  <cols>
    <col min="2" max="2" width="7" customWidth="1"/>
    <col min="3" max="3" width="9.83203125" customWidth="1"/>
    <col min="6" max="6" width="18.83203125" customWidth="1"/>
    <col min="7" max="7" width="20.83203125" customWidth="1"/>
    <col min="25" max="25" width="10.83203125" customWidth="1"/>
  </cols>
  <sheetData>
    <row r="1" spans="1:26" s="13" customFormat="1" ht="14" x14ac:dyDescent="0.15">
      <c r="A1" s="13" t="s">
        <v>0</v>
      </c>
      <c r="B1" s="13" t="s">
        <v>46</v>
      </c>
      <c r="C1" s="13" t="s">
        <v>47</v>
      </c>
      <c r="D1" s="13" t="s">
        <v>44</v>
      </c>
      <c r="E1" s="13" t="s">
        <v>3</v>
      </c>
      <c r="F1" s="13" t="s">
        <v>45</v>
      </c>
      <c r="G1" s="13" t="s">
        <v>51</v>
      </c>
      <c r="H1" s="13" t="s">
        <v>48</v>
      </c>
      <c r="I1" s="38" t="s">
        <v>14</v>
      </c>
      <c r="J1" s="38"/>
      <c r="K1" s="13" t="s">
        <v>50</v>
      </c>
      <c r="L1" s="13" t="s">
        <v>49</v>
      </c>
      <c r="M1" s="5" t="s">
        <v>37</v>
      </c>
      <c r="N1" s="5" t="s">
        <v>38</v>
      </c>
      <c r="O1" s="5" t="s">
        <v>39</v>
      </c>
      <c r="P1" s="5" t="s">
        <v>40</v>
      </c>
      <c r="Q1" s="5" t="s">
        <v>41</v>
      </c>
      <c r="R1" s="5" t="s">
        <v>42</v>
      </c>
      <c r="S1" s="5" t="s">
        <v>31</v>
      </c>
      <c r="T1" s="5" t="s">
        <v>32</v>
      </c>
      <c r="U1" s="5" t="s">
        <v>33</v>
      </c>
      <c r="V1" s="5" t="s">
        <v>34</v>
      </c>
      <c r="W1" s="5" t="s">
        <v>35</v>
      </c>
      <c r="X1" s="5" t="s">
        <v>36</v>
      </c>
      <c r="Y1" t="s">
        <v>97</v>
      </c>
      <c r="Z1" t="s">
        <v>96</v>
      </c>
    </row>
  </sheetData>
  <mergeCells count="1">
    <mergeCell ref="I1:J1"/>
  </mergeCells>
  <pageMargins left="0.7" right="0.7" top="0.78740157499999996" bottom="0.78740157499999996"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A8465-810E-0B43-A1C7-F27798459BF0}">
  <dimension ref="A1:Z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RowHeight="13" x14ac:dyDescent="0.15"/>
  <cols>
    <col min="2" max="2" width="7" customWidth="1"/>
    <col min="3" max="3" width="10" customWidth="1"/>
    <col min="6" max="6" width="18.83203125" customWidth="1"/>
    <col min="7" max="7" width="20.83203125" customWidth="1"/>
    <col min="25" max="25" width="10.83203125" customWidth="1"/>
  </cols>
  <sheetData>
    <row r="1" spans="1:26" s="13" customFormat="1" ht="14" x14ac:dyDescent="0.15">
      <c r="A1" s="13" t="s">
        <v>0</v>
      </c>
      <c r="B1" s="13" t="s">
        <v>46</v>
      </c>
      <c r="C1" s="13" t="s">
        <v>47</v>
      </c>
      <c r="D1" s="13" t="s">
        <v>44</v>
      </c>
      <c r="E1" s="13" t="s">
        <v>3</v>
      </c>
      <c r="F1" s="13" t="s">
        <v>45</v>
      </c>
      <c r="G1" s="13" t="s">
        <v>51</v>
      </c>
      <c r="H1" s="13" t="s">
        <v>48</v>
      </c>
      <c r="I1" s="38" t="s">
        <v>14</v>
      </c>
      <c r="J1" s="38"/>
      <c r="K1" s="13" t="s">
        <v>50</v>
      </c>
      <c r="L1" s="13" t="s">
        <v>49</v>
      </c>
      <c r="M1" s="5" t="s">
        <v>37</v>
      </c>
      <c r="N1" s="5" t="s">
        <v>38</v>
      </c>
      <c r="O1" s="5" t="s">
        <v>39</v>
      </c>
      <c r="P1" s="5" t="s">
        <v>40</v>
      </c>
      <c r="Q1" s="5" t="s">
        <v>41</v>
      </c>
      <c r="R1" s="5" t="s">
        <v>42</v>
      </c>
      <c r="S1" s="5" t="s">
        <v>31</v>
      </c>
      <c r="T1" s="5" t="s">
        <v>32</v>
      </c>
      <c r="U1" s="5" t="s">
        <v>33</v>
      </c>
      <c r="V1" s="5" t="s">
        <v>34</v>
      </c>
      <c r="W1" s="5" t="s">
        <v>35</v>
      </c>
      <c r="X1" s="5" t="s">
        <v>36</v>
      </c>
      <c r="Y1" t="s">
        <v>97</v>
      </c>
      <c r="Z1" t="s">
        <v>96</v>
      </c>
    </row>
  </sheetData>
  <mergeCells count="1">
    <mergeCell ref="I1:J1"/>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9C5F-FA60-E046-8215-5364C559BAC2}">
  <dimension ref="A1:Z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RowHeight="13" x14ac:dyDescent="0.15"/>
  <cols>
    <col min="2" max="2" width="7" customWidth="1"/>
    <col min="3" max="3" width="10" customWidth="1"/>
    <col min="6" max="6" width="18.83203125" customWidth="1"/>
    <col min="7" max="7" width="20.83203125" customWidth="1"/>
    <col min="25" max="25" width="10.83203125" customWidth="1"/>
  </cols>
  <sheetData>
    <row r="1" spans="1:26" s="13" customFormat="1" ht="14" x14ac:dyDescent="0.15">
      <c r="A1" s="13" t="s">
        <v>0</v>
      </c>
      <c r="B1" s="13" t="s">
        <v>46</v>
      </c>
      <c r="C1" s="13" t="s">
        <v>47</v>
      </c>
      <c r="D1" s="13" t="s">
        <v>44</v>
      </c>
      <c r="E1" s="13" t="s">
        <v>3</v>
      </c>
      <c r="F1" s="13" t="s">
        <v>45</v>
      </c>
      <c r="G1" s="13" t="s">
        <v>51</v>
      </c>
      <c r="H1" s="13" t="s">
        <v>48</v>
      </c>
      <c r="I1" s="38" t="s">
        <v>14</v>
      </c>
      <c r="J1" s="38"/>
      <c r="K1" s="13" t="s">
        <v>50</v>
      </c>
      <c r="L1" s="13" t="s">
        <v>49</v>
      </c>
      <c r="M1" s="5" t="s">
        <v>37</v>
      </c>
      <c r="N1" s="5" t="s">
        <v>38</v>
      </c>
      <c r="O1" s="5" t="s">
        <v>39</v>
      </c>
      <c r="P1" s="5" t="s">
        <v>40</v>
      </c>
      <c r="Q1" s="5" t="s">
        <v>41</v>
      </c>
      <c r="R1" s="5" t="s">
        <v>42</v>
      </c>
      <c r="S1" s="5" t="s">
        <v>31</v>
      </c>
      <c r="T1" s="5" t="s">
        <v>32</v>
      </c>
      <c r="U1" s="5" t="s">
        <v>33</v>
      </c>
      <c r="V1" s="5" t="s">
        <v>34</v>
      </c>
      <c r="W1" s="5" t="s">
        <v>35</v>
      </c>
      <c r="X1" s="5" t="s">
        <v>36</v>
      </c>
      <c r="Y1" t="s">
        <v>97</v>
      </c>
      <c r="Z1" t="s">
        <v>96</v>
      </c>
    </row>
  </sheetData>
  <mergeCells count="1">
    <mergeCell ref="I1:J1"/>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000D-C6FB-164B-AFB3-9CB348DD95B6}">
  <dimension ref="A1:AX10"/>
  <sheetViews>
    <sheetView workbookViewId="0">
      <pane xSplit="5" ySplit="10" topLeftCell="V11" activePane="bottomRight" state="frozen"/>
      <selection pane="topRight" activeCell="D1" sqref="D1"/>
      <selection pane="bottomLeft" activeCell="A11" sqref="A11"/>
      <selection pane="bottomRight" activeCell="AA11" sqref="AA11"/>
    </sheetView>
  </sheetViews>
  <sheetFormatPr baseColWidth="10" defaultColWidth="8.6640625" defaultRowHeight="13" x14ac:dyDescent="0.15"/>
  <cols>
    <col min="1" max="1" width="7.83203125" customWidth="1"/>
    <col min="2" max="2" width="6.33203125" customWidth="1"/>
    <col min="3" max="3" width="13.1640625" customWidth="1"/>
    <col min="4" max="4" width="18" style="1" customWidth="1"/>
    <col min="5" max="5" width="23.83203125" customWidth="1"/>
    <col min="6" max="6" width="16.6640625" customWidth="1"/>
    <col min="7" max="8" width="31.1640625" customWidth="1"/>
    <col min="9" max="12" width="11.5" customWidth="1"/>
    <col min="13" max="13" width="8.33203125" customWidth="1"/>
    <col min="14" max="14" width="12.5" style="2" customWidth="1"/>
    <col min="15" max="15" width="11.5" customWidth="1"/>
    <col min="16" max="16" width="13.6640625" style="2" customWidth="1"/>
    <col min="17" max="19" width="11.5" style="2" customWidth="1"/>
    <col min="20" max="20" width="11.5" style="20" customWidth="1"/>
    <col min="21" max="22" width="11.5" style="1" customWidth="1"/>
    <col min="23" max="23" width="8" customWidth="1"/>
    <col min="24" max="24" width="8.33203125" customWidth="1"/>
    <col min="25" max="25" width="13.33203125" style="25" customWidth="1"/>
    <col min="26" max="27" width="13.1640625" style="25" customWidth="1"/>
    <col min="28" max="28" width="0.6640625" style="25" customWidth="1"/>
    <col min="29" max="29" width="12" bestFit="1" customWidth="1"/>
    <col min="30" max="41" width="12.83203125" style="2" customWidth="1"/>
    <col min="42" max="43" width="19" style="1" customWidth="1"/>
    <col min="44" max="44" width="52.83203125" customWidth="1"/>
    <col min="45" max="45" width="16.5" customWidth="1"/>
    <col min="46" max="46" width="29.5" customWidth="1"/>
    <col min="47" max="47" width="65.6640625" customWidth="1"/>
    <col min="48" max="48" width="9.6640625" customWidth="1"/>
    <col min="49" max="49" width="8.33203125" customWidth="1"/>
    <col min="50" max="50" width="7" bestFit="1" customWidth="1"/>
  </cols>
  <sheetData>
    <row r="1" spans="1:50" ht="28" x14ac:dyDescent="0.15">
      <c r="A1" s="3" t="s">
        <v>0</v>
      </c>
      <c r="B1" s="3" t="s">
        <v>46</v>
      </c>
      <c r="C1" s="3" t="s">
        <v>100</v>
      </c>
      <c r="D1" s="4" t="s">
        <v>44</v>
      </c>
      <c r="E1" s="21" t="s">
        <v>3</v>
      </c>
      <c r="F1" s="21" t="s">
        <v>91</v>
      </c>
      <c r="G1" s="21" t="s">
        <v>4</v>
      </c>
      <c r="H1" s="21" t="s">
        <v>30</v>
      </c>
      <c r="I1" s="21" t="s">
        <v>5</v>
      </c>
      <c r="J1" s="21" t="s">
        <v>6</v>
      </c>
      <c r="K1" s="21" t="s">
        <v>7</v>
      </c>
      <c r="L1" s="21" t="s">
        <v>8</v>
      </c>
      <c r="M1" s="3" t="s">
        <v>9</v>
      </c>
      <c r="N1" s="5" t="s">
        <v>10</v>
      </c>
      <c r="O1" s="3" t="s">
        <v>15</v>
      </c>
      <c r="P1" s="5" t="s">
        <v>55</v>
      </c>
      <c r="Q1" s="5" t="s">
        <v>11</v>
      </c>
      <c r="R1" s="5" t="s">
        <v>56</v>
      </c>
      <c r="S1" s="5" t="s">
        <v>12</v>
      </c>
      <c r="T1" s="3" t="s">
        <v>13</v>
      </c>
      <c r="U1" s="39" t="s">
        <v>14</v>
      </c>
      <c r="V1" s="40"/>
      <c r="W1" s="3" t="s">
        <v>19</v>
      </c>
      <c r="X1" s="3" t="s">
        <v>90</v>
      </c>
      <c r="Y1" s="27" t="s">
        <v>87</v>
      </c>
      <c r="Z1" s="27" t="s">
        <v>86</v>
      </c>
      <c r="AA1" s="3" t="s">
        <v>88</v>
      </c>
      <c r="AB1" s="3"/>
      <c r="AC1" s="3"/>
      <c r="AD1" s="5" t="s">
        <v>37</v>
      </c>
      <c r="AE1" s="5" t="s">
        <v>38</v>
      </c>
      <c r="AF1" s="5" t="s">
        <v>39</v>
      </c>
      <c r="AG1" s="5" t="s">
        <v>40</v>
      </c>
      <c r="AH1" s="5" t="s">
        <v>41</v>
      </c>
      <c r="AI1" s="5" t="s">
        <v>42</v>
      </c>
      <c r="AJ1" s="5" t="s">
        <v>31</v>
      </c>
      <c r="AK1" s="5" t="s">
        <v>32</v>
      </c>
      <c r="AL1" s="5" t="s">
        <v>33</v>
      </c>
      <c r="AM1" s="5" t="s">
        <v>34</v>
      </c>
      <c r="AN1" s="5" t="s">
        <v>35</v>
      </c>
      <c r="AO1" s="5" t="s">
        <v>36</v>
      </c>
      <c r="AP1" s="22" t="s">
        <v>1</v>
      </c>
      <c r="AQ1" s="22" t="s">
        <v>2</v>
      </c>
      <c r="AR1" s="26" t="s">
        <v>54</v>
      </c>
      <c r="AS1" s="21" t="s">
        <v>16</v>
      </c>
      <c r="AT1" s="21" t="s">
        <v>17</v>
      </c>
      <c r="AU1" s="21" t="s">
        <v>18</v>
      </c>
      <c r="AV1" t="s">
        <v>97</v>
      </c>
      <c r="AW1" t="s">
        <v>96</v>
      </c>
      <c r="AX1" s="33" t="s">
        <v>99</v>
      </c>
    </row>
    <row r="2" spans="1:50" ht="20" x14ac:dyDescent="0.15">
      <c r="A2" s="37" t="s">
        <v>95</v>
      </c>
      <c r="B2" s="37"/>
      <c r="C2" s="34"/>
      <c r="AC2" s="6" t="s">
        <v>20</v>
      </c>
      <c r="AD2" s="7">
        <f t="shared" ref="AD2:AO2" ca="1" si="0">SUMIFS(AD11:AD100000,$L11:$L100000,"=beauftragt",$AW11:$AW100000, TRUE)</f>
        <v>0</v>
      </c>
      <c r="AE2" s="7">
        <f t="shared" ca="1" si="0"/>
        <v>0</v>
      </c>
      <c r="AF2" s="7">
        <f t="shared" ca="1" si="0"/>
        <v>0</v>
      </c>
      <c r="AG2" s="7">
        <f t="shared" ca="1" si="0"/>
        <v>0</v>
      </c>
      <c r="AH2" s="7">
        <f t="shared" ca="1" si="0"/>
        <v>0</v>
      </c>
      <c r="AI2" s="7">
        <f t="shared" ca="1" si="0"/>
        <v>0</v>
      </c>
      <c r="AJ2" s="7">
        <f t="shared" ca="1" si="0"/>
        <v>0</v>
      </c>
      <c r="AK2" s="7">
        <f t="shared" ca="1" si="0"/>
        <v>0</v>
      </c>
      <c r="AL2" s="7">
        <f t="shared" ca="1" si="0"/>
        <v>0</v>
      </c>
      <c r="AM2" s="7">
        <f t="shared" ca="1" si="0"/>
        <v>0</v>
      </c>
      <c r="AN2" s="7">
        <f t="shared" ca="1" si="0"/>
        <v>0</v>
      </c>
      <c r="AO2" s="7">
        <f t="shared" ca="1" si="0"/>
        <v>0</v>
      </c>
    </row>
    <row r="3" spans="1:50" x14ac:dyDescent="0.15">
      <c r="AC3" s="8" t="s">
        <v>21</v>
      </c>
      <c r="AD3" s="9">
        <f t="shared" ref="AD3:AO3" ca="1" si="1">SUMIFS(AD11:AD100000,$L11:$L100000,"=gelegt",$AW11:$AW100000, TRUE)</f>
        <v>0</v>
      </c>
      <c r="AE3" s="9">
        <f t="shared" ca="1" si="1"/>
        <v>0</v>
      </c>
      <c r="AF3" s="9">
        <f t="shared" ca="1" si="1"/>
        <v>0</v>
      </c>
      <c r="AG3" s="9">
        <f t="shared" ca="1" si="1"/>
        <v>0</v>
      </c>
      <c r="AH3" s="9">
        <f t="shared" ca="1" si="1"/>
        <v>0</v>
      </c>
      <c r="AI3" s="9">
        <f t="shared" ca="1" si="1"/>
        <v>0</v>
      </c>
      <c r="AJ3" s="9">
        <f t="shared" ca="1" si="1"/>
        <v>0</v>
      </c>
      <c r="AK3" s="9">
        <f t="shared" ca="1" si="1"/>
        <v>0</v>
      </c>
      <c r="AL3" s="9">
        <f t="shared" ca="1" si="1"/>
        <v>0</v>
      </c>
      <c r="AM3" s="9">
        <f t="shared" ca="1" si="1"/>
        <v>0</v>
      </c>
      <c r="AN3" s="9">
        <f t="shared" ca="1" si="1"/>
        <v>0</v>
      </c>
      <c r="AO3" s="9">
        <f t="shared" ca="1" si="1"/>
        <v>0</v>
      </c>
    </row>
    <row r="4" spans="1:50" x14ac:dyDescent="0.15">
      <c r="AC4" s="6" t="s">
        <v>22</v>
      </c>
      <c r="AD4" s="7">
        <f t="shared" ref="AD4:AO4" ca="1" si="2">SUMIFS(AD11:AD100000,$L11:$L100000,"=LOI",$AW11:$AW100000, TRUE)</f>
        <v>0</v>
      </c>
      <c r="AE4" s="7">
        <f t="shared" ca="1" si="2"/>
        <v>0</v>
      </c>
      <c r="AF4" s="7">
        <f t="shared" ca="1" si="2"/>
        <v>0</v>
      </c>
      <c r="AG4" s="7">
        <f t="shared" ca="1" si="2"/>
        <v>0</v>
      </c>
      <c r="AH4" s="7">
        <f t="shared" ca="1" si="2"/>
        <v>0</v>
      </c>
      <c r="AI4" s="7">
        <f t="shared" ca="1" si="2"/>
        <v>0</v>
      </c>
      <c r="AJ4" s="7">
        <f t="shared" ca="1" si="2"/>
        <v>0</v>
      </c>
      <c r="AK4" s="7">
        <f t="shared" ca="1" si="2"/>
        <v>0</v>
      </c>
      <c r="AL4" s="7">
        <f t="shared" ca="1" si="2"/>
        <v>0</v>
      </c>
      <c r="AM4" s="7">
        <f t="shared" ca="1" si="2"/>
        <v>0</v>
      </c>
      <c r="AN4" s="7">
        <f t="shared" ca="1" si="2"/>
        <v>0</v>
      </c>
      <c r="AO4" s="7">
        <f t="shared" ca="1" si="2"/>
        <v>0</v>
      </c>
    </row>
    <row r="5" spans="1:50" x14ac:dyDescent="0.15">
      <c r="AC5" s="8" t="s">
        <v>43</v>
      </c>
      <c r="AD5" s="9">
        <f t="shared" ref="AD5:AO5" ca="1" si="3">SUMIFS(AD11:AD100000,$L11:$L100000,"=in Erstellung",$AW11:$AW100000, TRUE)</f>
        <v>0</v>
      </c>
      <c r="AE5" s="9">
        <f t="shared" ca="1" si="3"/>
        <v>0</v>
      </c>
      <c r="AF5" s="9">
        <f t="shared" ca="1" si="3"/>
        <v>0</v>
      </c>
      <c r="AG5" s="9">
        <f t="shared" ca="1" si="3"/>
        <v>0</v>
      </c>
      <c r="AH5" s="9">
        <f t="shared" ca="1" si="3"/>
        <v>0</v>
      </c>
      <c r="AI5" s="9">
        <f t="shared" ca="1" si="3"/>
        <v>0</v>
      </c>
      <c r="AJ5" s="9">
        <f t="shared" ca="1" si="3"/>
        <v>0</v>
      </c>
      <c r="AK5" s="9">
        <f t="shared" ca="1" si="3"/>
        <v>0</v>
      </c>
      <c r="AL5" s="9">
        <f t="shared" ca="1" si="3"/>
        <v>0</v>
      </c>
      <c r="AM5" s="9">
        <f t="shared" ca="1" si="3"/>
        <v>0</v>
      </c>
      <c r="AN5" s="9">
        <f t="shared" ca="1" si="3"/>
        <v>0</v>
      </c>
      <c r="AO5" s="9">
        <f t="shared" ca="1" si="3"/>
        <v>0</v>
      </c>
    </row>
    <row r="6" spans="1:50" x14ac:dyDescent="0.15">
      <c r="AC6" s="10" t="s">
        <v>23</v>
      </c>
      <c r="AD6" s="11">
        <f t="shared" ref="AD6:AO6" ca="1" si="4">SUMIFS(AD11:AD100000,$L11:$L100000,"=Potenzial",$AW11:$AW100000, TRUE)</f>
        <v>0</v>
      </c>
      <c r="AE6" s="11">
        <f t="shared" ca="1" si="4"/>
        <v>0</v>
      </c>
      <c r="AF6" s="11">
        <f t="shared" ca="1" si="4"/>
        <v>0</v>
      </c>
      <c r="AG6" s="11">
        <f t="shared" ca="1" si="4"/>
        <v>0</v>
      </c>
      <c r="AH6" s="11">
        <f t="shared" ca="1" si="4"/>
        <v>0</v>
      </c>
      <c r="AI6" s="11">
        <f t="shared" ca="1" si="4"/>
        <v>0</v>
      </c>
      <c r="AJ6" s="11">
        <f t="shared" ca="1" si="4"/>
        <v>0</v>
      </c>
      <c r="AK6" s="11">
        <f t="shared" ca="1" si="4"/>
        <v>0</v>
      </c>
      <c r="AL6" s="11">
        <f t="shared" ca="1" si="4"/>
        <v>0</v>
      </c>
      <c r="AM6" s="11">
        <f t="shared" ca="1" si="4"/>
        <v>0</v>
      </c>
      <c r="AN6" s="11">
        <f t="shared" ca="1" si="4"/>
        <v>0</v>
      </c>
      <c r="AO6" s="11">
        <f t="shared" ca="1" si="4"/>
        <v>0</v>
      </c>
    </row>
    <row r="7" spans="1:50" x14ac:dyDescent="0.15">
      <c r="AC7" s="15" t="s">
        <v>27</v>
      </c>
      <c r="AD7" s="16">
        <f ca="1">SUM(AD2:AD6)+AD8</f>
        <v>0</v>
      </c>
      <c r="AE7" s="16">
        <f t="shared" ref="AE7:AO7" ca="1" si="5">SUM(AE2:AE6)+AE8</f>
        <v>0</v>
      </c>
      <c r="AF7" s="16">
        <f t="shared" ca="1" si="5"/>
        <v>0</v>
      </c>
      <c r="AG7" s="16">
        <f t="shared" ca="1" si="5"/>
        <v>0</v>
      </c>
      <c r="AH7" s="16">
        <f t="shared" ca="1" si="5"/>
        <v>0</v>
      </c>
      <c r="AI7" s="16">
        <f t="shared" ca="1" si="5"/>
        <v>0</v>
      </c>
      <c r="AJ7" s="16">
        <f t="shared" ca="1" si="5"/>
        <v>0</v>
      </c>
      <c r="AK7" s="16">
        <f t="shared" ca="1" si="5"/>
        <v>0</v>
      </c>
      <c r="AL7" s="16">
        <f t="shared" ca="1" si="5"/>
        <v>0</v>
      </c>
      <c r="AM7" s="16">
        <f t="shared" ca="1" si="5"/>
        <v>0</v>
      </c>
      <c r="AN7" s="16">
        <f t="shared" ca="1" si="5"/>
        <v>0</v>
      </c>
      <c r="AO7" s="16">
        <f t="shared" ca="1" si="5"/>
        <v>0</v>
      </c>
    </row>
    <row r="8" spans="1:50" x14ac:dyDescent="0.15">
      <c r="AC8" s="13" t="s">
        <v>25</v>
      </c>
      <c r="AD8" s="14">
        <f>SUMIFS(Planning_Invoices!M:M, Planning_Invoices!$Z:$Z, TRUE)</f>
        <v>0</v>
      </c>
      <c r="AE8" s="14">
        <f>SUMIFS(Planning_Invoices!N:N, Planning_Invoices!$Z:$Z, TRUE)</f>
        <v>0</v>
      </c>
      <c r="AF8" s="14">
        <f>SUMIFS(Planning_Invoices!O:O, Planning_Invoices!$Z:$Z, TRUE)</f>
        <v>0</v>
      </c>
      <c r="AG8" s="14">
        <f>SUMIFS(Planning_Invoices!P:P, Planning_Invoices!$Z:$Z, TRUE)</f>
        <v>0</v>
      </c>
      <c r="AH8" s="14">
        <f>SUMIFS(Planning_Invoices!Q:Q, Planning_Invoices!$Z:$Z, TRUE)</f>
        <v>0</v>
      </c>
      <c r="AI8" s="14">
        <f>SUMIFS(Planning_Invoices!R:R, Planning_Invoices!$Z:$Z, TRUE)</f>
        <v>0</v>
      </c>
      <c r="AJ8" s="14">
        <f>SUMIFS(Planning_Invoices!S:S, Planning_Invoices!$Z:$Z, TRUE)</f>
        <v>0</v>
      </c>
      <c r="AK8" s="14">
        <f>SUMIFS(Planning_Invoices!T:T, Planning_Invoices!$Z:$Z, TRUE)</f>
        <v>0</v>
      </c>
      <c r="AL8" s="14">
        <f>SUMIFS(Planning_Invoices!U:U, Planning_Invoices!$Z:$Z, TRUE)</f>
        <v>0</v>
      </c>
      <c r="AM8" s="14">
        <f>SUMIFS(Planning_Invoices!V:V, Planning_Invoices!$Z:$Z, TRUE)</f>
        <v>0</v>
      </c>
      <c r="AN8" s="14">
        <f>SUMIFS(Planning_Invoices!W:W, Planning_Invoices!$Z:$Z, TRUE)</f>
        <v>0</v>
      </c>
      <c r="AO8" s="14">
        <f>SUMIFS(Planning_Invoices!X:X, Planning_Invoices!$Z:$Z, TRUE)</f>
        <v>0</v>
      </c>
    </row>
    <row r="9" spans="1:50" x14ac:dyDescent="0.15">
      <c r="AC9" s="29"/>
    </row>
    <row r="10" spans="1:50" ht="28" x14ac:dyDescent="0.15">
      <c r="A10" s="3" t="s">
        <v>0</v>
      </c>
      <c r="B10" s="3" t="s">
        <v>46</v>
      </c>
      <c r="C10" s="3" t="s">
        <v>100</v>
      </c>
      <c r="D10" s="4" t="s">
        <v>44</v>
      </c>
      <c r="E10" s="21" t="s">
        <v>3</v>
      </c>
      <c r="F10" s="21" t="s">
        <v>91</v>
      </c>
      <c r="G10" s="21" t="s">
        <v>4</v>
      </c>
      <c r="H10" s="21" t="s">
        <v>30</v>
      </c>
      <c r="I10" s="21" t="s">
        <v>5</v>
      </c>
      <c r="J10" s="21" t="s">
        <v>6</v>
      </c>
      <c r="K10" s="21" t="s">
        <v>7</v>
      </c>
      <c r="L10" s="21" t="s">
        <v>8</v>
      </c>
      <c r="M10" s="3" t="s">
        <v>9</v>
      </c>
      <c r="N10" s="5" t="s">
        <v>10</v>
      </c>
      <c r="O10" s="3" t="s">
        <v>15</v>
      </c>
      <c r="P10" s="5" t="s">
        <v>55</v>
      </c>
      <c r="Q10" s="5" t="s">
        <v>11</v>
      </c>
      <c r="R10" s="5" t="s">
        <v>56</v>
      </c>
      <c r="S10" s="5" t="s">
        <v>12</v>
      </c>
      <c r="T10" s="3" t="s">
        <v>13</v>
      </c>
      <c r="U10" s="36" t="s">
        <v>14</v>
      </c>
      <c r="V10" s="36"/>
      <c r="W10" s="3" t="s">
        <v>19</v>
      </c>
      <c r="X10" s="3" t="s">
        <v>90</v>
      </c>
      <c r="Y10" s="27" t="s">
        <v>87</v>
      </c>
      <c r="Z10" s="27" t="s">
        <v>86</v>
      </c>
      <c r="AA10" s="3" t="s">
        <v>88</v>
      </c>
      <c r="AB10" s="3"/>
      <c r="AC10" s="3"/>
      <c r="AD10" s="5" t="s">
        <v>37</v>
      </c>
      <c r="AE10" s="5" t="s">
        <v>38</v>
      </c>
      <c r="AF10" s="5" t="s">
        <v>39</v>
      </c>
      <c r="AG10" s="5" t="s">
        <v>40</v>
      </c>
      <c r="AH10" s="5" t="s">
        <v>41</v>
      </c>
      <c r="AI10" s="5" t="s">
        <v>42</v>
      </c>
      <c r="AJ10" s="5" t="s">
        <v>31</v>
      </c>
      <c r="AK10" s="5" t="s">
        <v>32</v>
      </c>
      <c r="AL10" s="5" t="s">
        <v>33</v>
      </c>
      <c r="AM10" s="5" t="s">
        <v>34</v>
      </c>
      <c r="AN10" s="5" t="s">
        <v>35</v>
      </c>
      <c r="AO10" s="5" t="s">
        <v>36</v>
      </c>
      <c r="AP10" s="22" t="s">
        <v>1</v>
      </c>
      <c r="AQ10" s="22" t="s">
        <v>2</v>
      </c>
      <c r="AR10" s="26" t="s">
        <v>54</v>
      </c>
      <c r="AS10" s="21" t="s">
        <v>16</v>
      </c>
      <c r="AT10" s="21" t="s">
        <v>17</v>
      </c>
      <c r="AU10" s="21" t="s">
        <v>18</v>
      </c>
      <c r="AV10" t="s">
        <v>97</v>
      </c>
      <c r="AW10" t="s">
        <v>96</v>
      </c>
    </row>
  </sheetData>
  <sheetProtection selectLockedCells="1" selectUnlockedCells="1"/>
  <mergeCells count="3">
    <mergeCell ref="U1:V1"/>
    <mergeCell ref="A2:B2"/>
    <mergeCell ref="U10:V10"/>
  </mergeCells>
  <pageMargins left="0.74791666666666667" right="0.74791666666666667" top="0.98402777777777772" bottom="0.98402777777777772" header="0.51180555555555551" footer="0.51180555555555551"/>
  <pageSetup paperSize="9"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10A8-3156-B545-A437-09CFA0CFA594}">
  <dimension ref="A1:Z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RowHeight="13" x14ac:dyDescent="0.15"/>
  <cols>
    <col min="2" max="2" width="7" customWidth="1"/>
    <col min="3" max="3" width="9.83203125" customWidth="1"/>
    <col min="6" max="6" width="18.83203125" customWidth="1"/>
    <col min="7" max="7" width="20.83203125" customWidth="1"/>
    <col min="25" max="25" width="10.83203125" customWidth="1"/>
  </cols>
  <sheetData>
    <row r="1" spans="1:26" s="13" customFormat="1" ht="14" x14ac:dyDescent="0.15">
      <c r="A1" s="13" t="s">
        <v>0</v>
      </c>
      <c r="B1" s="13" t="s">
        <v>46</v>
      </c>
      <c r="C1" s="13" t="s">
        <v>47</v>
      </c>
      <c r="D1" s="13" t="s">
        <v>44</v>
      </c>
      <c r="E1" s="13" t="s">
        <v>3</v>
      </c>
      <c r="F1" s="13" t="s">
        <v>45</v>
      </c>
      <c r="G1" s="13" t="s">
        <v>51</v>
      </c>
      <c r="H1" s="13" t="s">
        <v>48</v>
      </c>
      <c r="I1" s="38" t="s">
        <v>14</v>
      </c>
      <c r="J1" s="38"/>
      <c r="K1" s="13" t="s">
        <v>50</v>
      </c>
      <c r="L1" s="13" t="s">
        <v>49</v>
      </c>
      <c r="M1" s="5" t="s">
        <v>37</v>
      </c>
      <c r="N1" s="5" t="s">
        <v>38</v>
      </c>
      <c r="O1" s="5" t="s">
        <v>39</v>
      </c>
      <c r="P1" s="5" t="s">
        <v>40</v>
      </c>
      <c r="Q1" s="5" t="s">
        <v>41</v>
      </c>
      <c r="R1" s="5" t="s">
        <v>42</v>
      </c>
      <c r="S1" s="5" t="s">
        <v>31</v>
      </c>
      <c r="T1" s="5" t="s">
        <v>32</v>
      </c>
      <c r="U1" s="5" t="s">
        <v>33</v>
      </c>
      <c r="V1" s="5" t="s">
        <v>34</v>
      </c>
      <c r="W1" s="5" t="s">
        <v>35</v>
      </c>
      <c r="X1" s="5" t="s">
        <v>36</v>
      </c>
      <c r="Y1" t="s">
        <v>97</v>
      </c>
      <c r="Z1" t="s">
        <v>96</v>
      </c>
    </row>
  </sheetData>
  <mergeCells count="1">
    <mergeCell ref="I1:J1"/>
  </mergeCells>
  <pageMargins left="0.7" right="0.7" top="0.78740157499999996" bottom="0.78740157499999996"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15FBD-69C9-F248-8D6C-0E7BAAF44D90}">
  <dimension ref="A1:E41"/>
  <sheetViews>
    <sheetView zoomScaleNormal="100" workbookViewId="0">
      <selection activeCell="A4" sqref="A4"/>
    </sheetView>
  </sheetViews>
  <sheetFormatPr baseColWidth="10" defaultRowHeight="13" x14ac:dyDescent="0.15"/>
  <cols>
    <col min="1" max="1" width="20.5" customWidth="1"/>
    <col min="2" max="2" width="35.6640625" bestFit="1" customWidth="1"/>
    <col min="3" max="3" width="39.6640625" bestFit="1" customWidth="1"/>
  </cols>
  <sheetData>
    <row r="1" spans="1:5" x14ac:dyDescent="0.15">
      <c r="A1" t="s">
        <v>72</v>
      </c>
      <c r="B1" s="30"/>
    </row>
    <row r="2" spans="1:5" x14ac:dyDescent="0.15">
      <c r="A2" t="s">
        <v>89</v>
      </c>
      <c r="B2" s="30"/>
    </row>
    <row r="3" spans="1:5" ht="23" x14ac:dyDescent="0.15">
      <c r="A3" s="32" t="s">
        <v>85</v>
      </c>
      <c r="B3" s="31"/>
    </row>
    <row r="4" spans="1:5" ht="52" customHeight="1" x14ac:dyDescent="0.15">
      <c r="A4" s="35" t="s">
        <v>104</v>
      </c>
      <c r="B4" s="41"/>
      <c r="C4" s="41"/>
      <c r="D4" s="41"/>
    </row>
    <row r="5" spans="1:5" ht="41" customHeight="1" x14ac:dyDescent="0.15">
      <c r="A5" s="42" t="s">
        <v>94</v>
      </c>
      <c r="B5" s="43"/>
      <c r="C5" s="43"/>
      <c r="D5" s="43"/>
    </row>
    <row r="6" spans="1:5" ht="41" customHeight="1" x14ac:dyDescent="0.15">
      <c r="A6" s="41" t="s">
        <v>93</v>
      </c>
      <c r="B6" s="41"/>
      <c r="C6" s="41"/>
      <c r="D6" s="41"/>
    </row>
    <row r="8" spans="1:5" ht="41" customHeight="1" x14ac:dyDescent="0.15">
      <c r="A8" s="42" t="s">
        <v>92</v>
      </c>
      <c r="B8" s="42"/>
      <c r="C8" s="42"/>
      <c r="D8" s="42"/>
    </row>
    <row r="9" spans="1:5" ht="41" customHeight="1" x14ac:dyDescent="0.15">
      <c r="A9" s="41" t="s">
        <v>71</v>
      </c>
      <c r="B9" s="41"/>
      <c r="C9" s="41"/>
      <c r="D9" s="41"/>
    </row>
    <row r="11" spans="1:5" ht="16" x14ac:dyDescent="0.2">
      <c r="A11" s="28" t="s">
        <v>70</v>
      </c>
      <c r="B11" s="28" t="s">
        <v>74</v>
      </c>
      <c r="C11" s="28" t="s">
        <v>75</v>
      </c>
      <c r="D11" s="28" t="s">
        <v>59</v>
      </c>
    </row>
    <row r="12" spans="1:5" x14ac:dyDescent="0.15">
      <c r="A12">
        <v>1</v>
      </c>
      <c r="B12" t="s">
        <v>78</v>
      </c>
      <c r="C12" t="s">
        <v>61</v>
      </c>
      <c r="D12">
        <v>0</v>
      </c>
    </row>
    <row r="13" spans="1:5" x14ac:dyDescent="0.15">
      <c r="A13">
        <v>2</v>
      </c>
      <c r="B13" t="s">
        <v>79</v>
      </c>
      <c r="C13" t="s">
        <v>61</v>
      </c>
      <c r="D13">
        <v>0</v>
      </c>
    </row>
    <row r="14" spans="1:5" x14ac:dyDescent="0.15">
      <c r="A14">
        <v>3</v>
      </c>
      <c r="B14" t="s">
        <v>61</v>
      </c>
      <c r="C14" t="s">
        <v>78</v>
      </c>
      <c r="D14">
        <v>0</v>
      </c>
    </row>
    <row r="15" spans="1:5" x14ac:dyDescent="0.15">
      <c r="A15">
        <v>4</v>
      </c>
      <c r="B15" t="s">
        <v>61</v>
      </c>
      <c r="C15" t="s">
        <v>79</v>
      </c>
      <c r="D15">
        <v>0</v>
      </c>
    </row>
    <row r="16" spans="1:5" x14ac:dyDescent="0.15">
      <c r="A16">
        <v>5</v>
      </c>
      <c r="B16" t="s">
        <v>61</v>
      </c>
      <c r="C16" t="s">
        <v>80</v>
      </c>
      <c r="D16">
        <v>0</v>
      </c>
      <c r="E16" t="s">
        <v>64</v>
      </c>
    </row>
    <row r="17" spans="1:5" x14ac:dyDescent="0.15">
      <c r="A17">
        <v>6</v>
      </c>
      <c r="B17" t="s">
        <v>61</v>
      </c>
      <c r="C17" t="s">
        <v>65</v>
      </c>
      <c r="D17">
        <v>0</v>
      </c>
      <c r="E17" t="s">
        <v>64</v>
      </c>
    </row>
    <row r="18" spans="1:5" x14ac:dyDescent="0.15">
      <c r="A18">
        <v>7</v>
      </c>
      <c r="B18" t="s">
        <v>61</v>
      </c>
      <c r="C18" t="s">
        <v>81</v>
      </c>
      <c r="D18">
        <v>1</v>
      </c>
    </row>
    <row r="19" spans="1:5" x14ac:dyDescent="0.15">
      <c r="A19">
        <v>8</v>
      </c>
      <c r="B19" t="s">
        <v>80</v>
      </c>
      <c r="C19" t="s">
        <v>61</v>
      </c>
      <c r="D19">
        <v>0</v>
      </c>
      <c r="E19" t="s">
        <v>64</v>
      </c>
    </row>
    <row r="20" spans="1:5" x14ac:dyDescent="0.15">
      <c r="A20">
        <v>9</v>
      </c>
      <c r="B20" t="s">
        <v>82</v>
      </c>
      <c r="C20" t="s">
        <v>61</v>
      </c>
      <c r="D20">
        <v>1</v>
      </c>
    </row>
    <row r="21" spans="1:5" x14ac:dyDescent="0.15">
      <c r="A21">
        <v>10</v>
      </c>
      <c r="B21" t="s">
        <v>81</v>
      </c>
      <c r="C21" t="s">
        <v>61</v>
      </c>
      <c r="D21">
        <v>1</v>
      </c>
    </row>
    <row r="22" spans="1:5" x14ac:dyDescent="0.15">
      <c r="A22">
        <v>11</v>
      </c>
      <c r="B22" t="s">
        <v>83</v>
      </c>
      <c r="C22" t="s">
        <v>83</v>
      </c>
      <c r="D22">
        <v>0.5</v>
      </c>
      <c r="E22" t="s">
        <v>64</v>
      </c>
    </row>
    <row r="23" spans="1:5" x14ac:dyDescent="0.15">
      <c r="A23">
        <v>12</v>
      </c>
      <c r="B23" t="s">
        <v>83</v>
      </c>
      <c r="C23" t="s">
        <v>22</v>
      </c>
      <c r="D23">
        <v>0.9</v>
      </c>
      <c r="E23" t="s">
        <v>64</v>
      </c>
    </row>
    <row r="24" spans="1:5" x14ac:dyDescent="0.15">
      <c r="A24">
        <v>13</v>
      </c>
      <c r="B24" t="s">
        <v>22</v>
      </c>
      <c r="C24" t="s">
        <v>84</v>
      </c>
      <c r="D24">
        <v>0.9</v>
      </c>
      <c r="E24" t="s">
        <v>64</v>
      </c>
    </row>
    <row r="25" spans="1:5" x14ac:dyDescent="0.15">
      <c r="A25">
        <v>14</v>
      </c>
      <c r="B25" t="s">
        <v>61</v>
      </c>
      <c r="C25" t="s">
        <v>61</v>
      </c>
      <c r="D25">
        <v>0</v>
      </c>
      <c r="E25" t="s">
        <v>64</v>
      </c>
    </row>
    <row r="27" spans="1:5" ht="16" x14ac:dyDescent="0.2">
      <c r="A27" s="28" t="s">
        <v>73</v>
      </c>
      <c r="B27" s="28" t="s">
        <v>57</v>
      </c>
      <c r="C27" s="28" t="s">
        <v>58</v>
      </c>
      <c r="D27" s="28" t="s">
        <v>76</v>
      </c>
    </row>
    <row r="28" spans="1:5" x14ac:dyDescent="0.15">
      <c r="A28">
        <v>1</v>
      </c>
      <c r="B28" t="s">
        <v>60</v>
      </c>
      <c r="C28" t="s">
        <v>61</v>
      </c>
      <c r="D28">
        <v>0</v>
      </c>
    </row>
    <row r="29" spans="1:5" x14ac:dyDescent="0.15">
      <c r="A29">
        <v>2</v>
      </c>
      <c r="B29" t="s">
        <v>62</v>
      </c>
      <c r="C29" t="s">
        <v>61</v>
      </c>
      <c r="D29">
        <v>0</v>
      </c>
    </row>
    <row r="30" spans="1:5" x14ac:dyDescent="0.15">
      <c r="A30">
        <v>3</v>
      </c>
      <c r="B30" t="s">
        <v>61</v>
      </c>
      <c r="C30" t="s">
        <v>60</v>
      </c>
      <c r="D30">
        <v>0</v>
      </c>
    </row>
    <row r="31" spans="1:5" x14ac:dyDescent="0.15">
      <c r="A31">
        <v>4</v>
      </c>
      <c r="B31" t="s">
        <v>61</v>
      </c>
      <c r="C31" t="s">
        <v>62</v>
      </c>
      <c r="D31">
        <v>0</v>
      </c>
    </row>
    <row r="32" spans="1:5" x14ac:dyDescent="0.15">
      <c r="A32">
        <v>5</v>
      </c>
      <c r="B32" t="s">
        <v>61</v>
      </c>
      <c r="C32" t="s">
        <v>63</v>
      </c>
      <c r="D32">
        <v>0</v>
      </c>
      <c r="E32" t="s">
        <v>77</v>
      </c>
    </row>
    <row r="33" spans="1:5" x14ac:dyDescent="0.15">
      <c r="A33">
        <v>6</v>
      </c>
      <c r="B33" t="s">
        <v>61</v>
      </c>
      <c r="C33" t="s">
        <v>65</v>
      </c>
      <c r="D33">
        <v>0</v>
      </c>
      <c r="E33" t="s">
        <v>77</v>
      </c>
    </row>
    <row r="34" spans="1:5" x14ac:dyDescent="0.15">
      <c r="A34">
        <v>7</v>
      </c>
      <c r="B34" t="s">
        <v>61</v>
      </c>
      <c r="C34" t="s">
        <v>66</v>
      </c>
      <c r="D34">
        <v>1</v>
      </c>
    </row>
    <row r="35" spans="1:5" x14ac:dyDescent="0.15">
      <c r="A35">
        <v>8</v>
      </c>
      <c r="B35" t="s">
        <v>63</v>
      </c>
      <c r="C35" t="s">
        <v>61</v>
      </c>
      <c r="D35">
        <v>0</v>
      </c>
      <c r="E35" t="s">
        <v>77</v>
      </c>
    </row>
    <row r="36" spans="1:5" x14ac:dyDescent="0.15">
      <c r="A36">
        <v>9</v>
      </c>
      <c r="B36" t="s">
        <v>67</v>
      </c>
      <c r="C36" t="s">
        <v>61</v>
      </c>
      <c r="D36">
        <v>1</v>
      </c>
    </row>
    <row r="37" spans="1:5" x14ac:dyDescent="0.15">
      <c r="A37">
        <v>10</v>
      </c>
      <c r="B37" t="s">
        <v>66</v>
      </c>
      <c r="C37" t="s">
        <v>61</v>
      </c>
      <c r="D37">
        <v>1</v>
      </c>
    </row>
    <row r="38" spans="1:5" x14ac:dyDescent="0.15">
      <c r="A38">
        <v>11</v>
      </c>
      <c r="B38" t="s">
        <v>68</v>
      </c>
      <c r="C38" t="s">
        <v>68</v>
      </c>
      <c r="D38">
        <v>0.5</v>
      </c>
      <c r="E38" t="s">
        <v>77</v>
      </c>
    </row>
    <row r="39" spans="1:5" x14ac:dyDescent="0.15">
      <c r="A39">
        <v>12</v>
      </c>
      <c r="B39" t="s">
        <v>68</v>
      </c>
      <c r="C39" t="s">
        <v>22</v>
      </c>
      <c r="D39">
        <v>0.9</v>
      </c>
      <c r="E39" t="s">
        <v>77</v>
      </c>
    </row>
    <row r="40" spans="1:5" x14ac:dyDescent="0.15">
      <c r="A40">
        <v>13</v>
      </c>
      <c r="B40" t="s">
        <v>22</v>
      </c>
      <c r="C40" t="s">
        <v>69</v>
      </c>
      <c r="D40">
        <v>0.9</v>
      </c>
      <c r="E40" t="s">
        <v>64</v>
      </c>
    </row>
    <row r="41" spans="1:5" x14ac:dyDescent="0.15">
      <c r="A41">
        <v>14</v>
      </c>
      <c r="B41" t="s">
        <v>61</v>
      </c>
      <c r="C41" t="s">
        <v>61</v>
      </c>
      <c r="D41">
        <v>0</v>
      </c>
      <c r="E41" t="s">
        <v>77</v>
      </c>
    </row>
  </sheetData>
  <mergeCells count="5">
    <mergeCell ref="B4:D4"/>
    <mergeCell ref="A9:D9"/>
    <mergeCell ref="A6:D6"/>
    <mergeCell ref="A5:D5"/>
    <mergeCell ref="A8:D8"/>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11</vt:i4>
      </vt:variant>
    </vt:vector>
  </HeadingPairs>
  <TitlesOfParts>
    <vt:vector size="11" baseType="lpstr">
      <vt:lpstr>Forecast_Data</vt:lpstr>
      <vt:lpstr>Grafiken 1</vt:lpstr>
      <vt:lpstr>Grafiken 2</vt:lpstr>
      <vt:lpstr>Projektübersicht</vt:lpstr>
      <vt:lpstr>Umsatz kumuliert</vt:lpstr>
      <vt:lpstr>Rechnungen</vt:lpstr>
      <vt:lpstr>Rechnungen Vorjahr</vt:lpstr>
      <vt:lpstr>Rechnungen Vorvorjahr</vt:lpstr>
      <vt:lpstr>Planning_Data</vt:lpstr>
      <vt:lpstr>Planning_Invoices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Reinhard</cp:lastModifiedBy>
  <dcterms:created xsi:type="dcterms:W3CDTF">2019-12-09T16:21:19Z</dcterms:created>
  <dcterms:modified xsi:type="dcterms:W3CDTF">2026-08-28T16:48:50Z</dcterms:modified>
</cp:coreProperties>
</file>