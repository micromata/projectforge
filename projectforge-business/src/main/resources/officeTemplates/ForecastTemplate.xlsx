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C027F350-FEB1-1F42-906E-391AF8E15E3F}" xr6:coauthVersionLast="47" xr6:coauthVersionMax="47" xr10:uidLastSave="{00000000-0000-0000-0000-000000000000}"/>
  <bookViews>
    <workbookView xWindow="0" yWindow="1000" windowWidth="34560" windowHeight="21100" tabRatio="500" xr2:uid="{00000000-000D-0000-FFFF-FFFF00000000}"/>
  </bookViews>
  <sheets>
    <sheet name="Forecast_Data" sheetId="1" r:id="rId1"/>
    <sheet name="Grafiken 1" sheetId="9" r:id="rId2"/>
    <sheet name="Grafiken 2" sheetId="2" r:id="rId3"/>
    <sheet name="Umsatz kumuliert" sheetId="3" r:id="rId4"/>
    <sheet name="Rechnungen" sheetId="4" r:id="rId5"/>
    <sheet name="Rechnungen Vorjahr" sheetId="6" r:id="rId6"/>
    <sheet name="Planning_Data" sheetId="10" r:id="rId7"/>
    <sheet name="Planning_Invoices" sheetId="11" r:id="rId8"/>
    <sheet name="Info" sheetId="7" r:id="rId9"/>
  </sheets>
  <definedNames>
    <definedName name="__xlfn_SUMIFS">#N/A</definedName>
    <definedName name="_xlnm._FilterDatabase" localSheetId="0" hidden="1">Forecast_Data!$A$1:$AO$9</definedName>
    <definedName name="_xlnm._FilterDatabase" localSheetId="6" hidden="1">Planning_Data!$A$1:$AN$9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D8" i="10" l="1"/>
  <c r="AE8" i="10"/>
  <c r="AF8" i="10"/>
  <c r="AG8" i="10"/>
  <c r="AH8" i="10"/>
  <c r="AI8" i="10"/>
  <c r="AJ8" i="10"/>
  <c r="AK8" i="10"/>
  <c r="AL8" i="10"/>
  <c r="AM8" i="10"/>
  <c r="AN8" i="10"/>
  <c r="AD6" i="10"/>
  <c r="AE6" i="10"/>
  <c r="AF6" i="10"/>
  <c r="AG6" i="10"/>
  <c r="AH6" i="10"/>
  <c r="AI6" i="10"/>
  <c r="AJ6" i="10"/>
  <c r="AK6" i="10"/>
  <c r="AL6" i="10"/>
  <c r="AM6" i="10"/>
  <c r="AN6" i="10"/>
  <c r="AC6" i="10"/>
  <c r="AD5" i="10"/>
  <c r="AE5" i="10"/>
  <c r="AF5" i="10"/>
  <c r="AG5" i="10"/>
  <c r="AH5" i="10"/>
  <c r="AI5" i="10"/>
  <c r="AJ5" i="10"/>
  <c r="AK5" i="10"/>
  <c r="AL5" i="10"/>
  <c r="AM5" i="10"/>
  <c r="AN5" i="10"/>
  <c r="AC5" i="10"/>
  <c r="AD4" i="10"/>
  <c r="AE4" i="10"/>
  <c r="AF4" i="10"/>
  <c r="AG4" i="10"/>
  <c r="AH4" i="10"/>
  <c r="AI4" i="10"/>
  <c r="AJ4" i="10"/>
  <c r="AK4" i="10"/>
  <c r="AL4" i="10"/>
  <c r="AM4" i="10"/>
  <c r="AN4" i="10"/>
  <c r="AC4" i="10"/>
  <c r="AD3" i="10"/>
  <c r="AE3" i="10"/>
  <c r="AF3" i="10"/>
  <c r="AG3" i="10"/>
  <c r="AH3" i="10"/>
  <c r="AI3" i="10"/>
  <c r="AJ3" i="10"/>
  <c r="AK3" i="10"/>
  <c r="AL3" i="10"/>
  <c r="AM3" i="10"/>
  <c r="AN3" i="10"/>
  <c r="AC3" i="10"/>
  <c r="AD2" i="10"/>
  <c r="AE2" i="10"/>
  <c r="AF2" i="10"/>
  <c r="AG2" i="10"/>
  <c r="AH2" i="10"/>
  <c r="AI2" i="10"/>
  <c r="AJ2" i="10"/>
  <c r="AK2" i="10"/>
  <c r="AL2" i="10"/>
  <c r="AM2" i="10"/>
  <c r="AN2" i="10"/>
  <c r="AC2" i="10"/>
  <c r="AC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D7" i="10"/>
  <c r="AE7" i="10"/>
  <c r="AF7" i="10"/>
  <c r="AG7" i="10"/>
  <c r="AH7" i="10"/>
  <c r="AI7" i="10"/>
  <c r="AJ7" i="10"/>
  <c r="AK7" i="10"/>
  <c r="AL7" i="10"/>
  <c r="AM7" i="10"/>
  <c r="AN7" i="10"/>
  <c r="AC7" i="10"/>
  <c r="AE9" i="1"/>
  <c r="AF9" i="1"/>
  <c r="AG9" i="1"/>
  <c r="AH9" i="1"/>
  <c r="AI9" i="1"/>
  <c r="AJ9" i="1"/>
  <c r="AK9" i="1"/>
  <c r="AL9" i="1"/>
  <c r="AM9" i="1"/>
  <c r="AN9" i="1"/>
  <c r="AO9" i="1"/>
  <c r="AD9" i="1"/>
  <c r="B9" i="3"/>
  <c r="C9" i="3"/>
  <c r="D9" i="3"/>
  <c r="E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<sst xmlns="http://schemas.openxmlformats.org/spreadsheetml/2006/main" count="373" uniqueCount="102">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</sst>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3">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Geschäftsjahr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5.4463035870516187E-2"/>
          <c:h val="9.1537748957850856E-2"/>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546100</xdr:colOff>
      <xdr:row>39</xdr:row>
      <xdr:rowOff>127000</xdr:rowOff>
    </xdr:from>
    <xdr:to>
      <xdr:col>16</xdr:col>
      <xdr:colOff>355600</xdr:colOff>
      <xdr:row>43</xdr:row>
      <xdr:rowOff>101600</xdr:rowOff>
    </xdr:to>
    <xdr:sp macro="" textlink="">
      <xdr:nvSpPr>
        <xdr:cNvPr id="5" name="Textfeld 4">
          <a:extLst>
            <a:ext uri="{FF2B5EF4-FFF2-40B4-BE49-F238E27FC236}">
              <a16:creationId xmlns:a16="http://schemas.microsoft.com/office/drawing/2014/main" id="{97D60B30-C0AF-E040-A430-75769E8C30E1}"/>
            </a:ext>
          </a:extLst>
        </xdr:cNvPr>
        <xdr:cNvSpPr txBox="1"/>
      </xdr:nvSpPr>
      <xdr:spPr>
        <a:xfrm>
          <a:off x="10604500" y="6565900"/>
          <a:ext cx="3162300" cy="635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a:solidFill>
                <a:srgbClr val="FF0000"/>
              </a:solidFill>
            </a:rPr>
            <a:t>Anmerkung:</a:t>
          </a:r>
          <a:r>
            <a:rPr lang="de-DE" sz="1100" baseline="0">
              <a:solidFill>
                <a:srgbClr val="FF0000"/>
              </a:solidFill>
            </a:rPr>
            <a:t> Im aktuellen Monat wird der größere Wert verwendet: Die IST-Daten (Rechnungen) oder der Monatsforecast.</a:t>
          </a:r>
          <a:endParaRPr lang="de-DE"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tabSelected="1" workbookViewId="0">
      <pane xSplit="5" ySplit="10" topLeftCell="Y15" activePane="bottomRight" state="frozen"/>
      <selection pane="topRight" activeCell="D1" sqref="D1"/>
      <selection pane="bottomLeft" activeCell="A11" sqref="A11"/>
      <selection pane="bottomRight" activeCell="AB11" sqref="AB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5" t="s">
        <v>14</v>
      </c>
      <c r="V1" s="35"/>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6" t="s">
        <v>95</v>
      </c>
      <c r="B2" s="36"/>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Planning_Data!AC7</f>
        <v>0</v>
      </c>
      <c r="AE9" s="16">
        <f ca="1">Planning_Data!AD7</f>
        <v>0</v>
      </c>
      <c r="AF9" s="16">
        <f ca="1">Planning_Data!AE7</f>
        <v>0</v>
      </c>
      <c r="AG9" s="16">
        <f ca="1">Planning_Data!AF7</f>
        <v>0</v>
      </c>
      <c r="AH9" s="16">
        <f ca="1">Planning_Data!AG7</f>
        <v>0</v>
      </c>
      <c r="AI9" s="16">
        <f ca="1">Planning_Data!AH7</f>
        <v>0</v>
      </c>
      <c r="AJ9" s="16">
        <f ca="1">Planning_Data!AI7</f>
        <v>0</v>
      </c>
      <c r="AK9" s="16">
        <f ca="1">Planning_Data!AJ7</f>
        <v>0</v>
      </c>
      <c r="AL9" s="16">
        <f ca="1">Planning_Data!AK7</f>
        <v>0</v>
      </c>
      <c r="AM9" s="16">
        <f ca="1">Planning_Data!AL7</f>
        <v>0</v>
      </c>
      <c r="AN9" s="16">
        <f ca="1">Planning_Data!AM7</f>
        <v>0</v>
      </c>
      <c r="AO9" s="16">
        <f ca="1">Planning_Data!AN7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workbookViewId="0">
      <selection activeCell="A44" sqref="A44"/>
    </sheetView>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election activeCell="A45" sqref="A45"/>
    </sheetView>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
  <sheetViews>
    <sheetView workbookViewId="0">
      <selection activeCell="B10" sqref="B10"/>
    </sheetView>
  </sheetViews>
  <sheetFormatPr baseColWidth="10" defaultColWidth="11" defaultRowHeight="13" x14ac:dyDescent="0.15"/>
  <cols>
    <col min="1" max="1" width="17"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MAX(B2,B3)</f>
        <v>0</v>
      </c>
      <c r="C4" s="18">
        <f t="shared" ref="C4:M4" si="0">MAX(C2,C3)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W10"/>
  <sheetViews>
    <sheetView workbookViewId="0">
      <pane xSplit="5" ySplit="10" topLeftCell="W11" activePane="bottomRight" state="frozen"/>
      <selection pane="topRight" activeCell="D1" sqref="D1"/>
      <selection pane="bottomLeft" activeCell="A11" sqref="A11"/>
      <selection pane="bottomRight" activeCell="AA11" sqref="AA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12" bestFit="1" customWidth="1"/>
    <col min="29" max="40" width="12.83203125" style="2" customWidth="1"/>
    <col min="41" max="42" width="19" style="1" customWidth="1"/>
    <col min="43" max="43" width="52.83203125" customWidth="1"/>
    <col min="44" max="44" width="16.5" customWidth="1"/>
    <col min="45" max="45" width="29.5" customWidth="1"/>
    <col min="46" max="46" width="65.6640625" customWidth="1"/>
    <col min="47" max="47" width="9.6640625" customWidth="1"/>
    <col min="48" max="48" width="8.33203125" customWidth="1"/>
    <col min="49" max="49" width="7" bestFit="1" customWidth="1"/>
  </cols>
  <sheetData>
    <row r="1" spans="1:49"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8" t="s">
        <v>14</v>
      </c>
      <c r="V1" s="39"/>
      <c r="W1" s="3" t="s">
        <v>19</v>
      </c>
      <c r="X1" s="3" t="s">
        <v>90</v>
      </c>
      <c r="Y1" s="27" t="s">
        <v>87</v>
      </c>
      <c r="Z1" s="27" t="s">
        <v>86</v>
      </c>
      <c r="AA1" s="3" t="s">
        <v>88</v>
      </c>
      <c r="AB1" s="3"/>
      <c r="AC1" s="5" t="s">
        <v>37</v>
      </c>
      <c r="AD1" s="5" t="s">
        <v>38</v>
      </c>
      <c r="AE1" s="5" t="s">
        <v>39</v>
      </c>
      <c r="AF1" s="5" t="s">
        <v>40</v>
      </c>
      <c r="AG1" s="5" t="s">
        <v>41</v>
      </c>
      <c r="AH1" s="5" t="s">
        <v>42</v>
      </c>
      <c r="AI1" s="5" t="s">
        <v>31</v>
      </c>
      <c r="AJ1" s="5" t="s">
        <v>32</v>
      </c>
      <c r="AK1" s="5" t="s">
        <v>33</v>
      </c>
      <c r="AL1" s="5" t="s">
        <v>34</v>
      </c>
      <c r="AM1" s="5" t="s">
        <v>35</v>
      </c>
      <c r="AN1" s="5" t="s">
        <v>36</v>
      </c>
      <c r="AO1" s="22" t="s">
        <v>1</v>
      </c>
      <c r="AP1" s="22" t="s">
        <v>2</v>
      </c>
      <c r="AQ1" s="26" t="s">
        <v>54</v>
      </c>
      <c r="AR1" s="21" t="s">
        <v>16</v>
      </c>
      <c r="AS1" s="21" t="s">
        <v>17</v>
      </c>
      <c r="AT1" s="21" t="s">
        <v>18</v>
      </c>
      <c r="AU1" t="s">
        <v>97</v>
      </c>
      <c r="AV1" t="s">
        <v>96</v>
      </c>
      <c r="AW1" s="33" t="s">
        <v>99</v>
      </c>
    </row>
    <row r="2" spans="1:49" ht="20" x14ac:dyDescent="0.15">
      <c r="A2" s="36" t="s">
        <v>95</v>
      </c>
      <c r="B2" s="36"/>
      <c r="C2" s="34"/>
      <c r="AB2" s="6" t="s">
        <v>20</v>
      </c>
      <c r="AC2" s="7">
        <f ca="1">SUMIFS(AC11:AC100000,$L11:$L100000,"=beauftragt",$AV11:$AV100000, TRUE)</f>
        <v>0</v>
      </c>
      <c r="AD2" s="7">
        <f ca="1">SUMIFS(AD11:AD100000,$L11:$L100000,"=beauftragt",$AV11:$AV100000, TRUE)</f>
        <v>0</v>
      </c>
      <c r="AE2" s="7">
        <f ca="1">SUMIFS(AE11:AE100000,$L11:$L100000,"=beauftragt",$AV11:$AV100000, TRUE)</f>
        <v>0</v>
      </c>
      <c r="AF2" s="7">
        <f ca="1">SUMIFS(AF11:AF100000,$L11:$L100000,"=beauftragt",$AV11:$AV100000, TRUE)</f>
        <v>0</v>
      </c>
      <c r="AG2" s="7">
        <f ca="1">SUMIFS(AG11:AG100000,$L11:$L100000,"=beauftragt",$AV11:$AV100000, TRUE)</f>
        <v>0</v>
      </c>
      <c r="AH2" s="7">
        <f ca="1">SUMIFS(AH11:AH100000,$L11:$L100000,"=beauftragt",$AV11:$AV100000, TRUE)</f>
        <v>0</v>
      </c>
      <c r="AI2" s="7">
        <f ca="1">SUMIFS(AI11:AI100000,$L11:$L100000,"=beauftragt",$AV11:$AV100000, TRUE)</f>
        <v>0</v>
      </c>
      <c r="AJ2" s="7">
        <f ca="1">SUMIFS(AJ11:AJ100000,$L11:$L100000,"=beauftragt",$AV11:$AV100000, TRUE)</f>
        <v>0</v>
      </c>
      <c r="AK2" s="7">
        <f ca="1">SUMIFS(AK11:AK100000,$L11:$L100000,"=beauftragt",$AV11:$AV100000, TRUE)</f>
        <v>0</v>
      </c>
      <c r="AL2" s="7">
        <f ca="1">SUMIFS(AL11:AL100000,$L11:$L100000,"=beauftragt",$AV11:$AV100000, TRUE)</f>
        <v>0</v>
      </c>
      <c r="AM2" s="7">
        <f ca="1">SUMIFS(AM11:AM100000,$L11:$L100000,"=beauftragt",$AV11:$AV100000, TRUE)</f>
        <v>0</v>
      </c>
      <c r="AN2" s="7">
        <f ca="1">SUMIFS(AN11:AN100000,$L11:$L100000,"=beauftragt",$AV11:$AV100000, TRUE)</f>
        <v>0</v>
      </c>
    </row>
    <row r="3" spans="1:49" x14ac:dyDescent="0.15">
      <c r="AB3" s="8" t="s">
        <v>21</v>
      </c>
      <c r="AC3" s="9">
        <f ca="1">SUMIFS(AC11:AC100000,$L11:$L100000,"=gelegt",$AV11:$AV100000, TRUE)</f>
        <v>0</v>
      </c>
      <c r="AD3" s="9">
        <f ca="1">SUMIFS(AD11:AD100000,$L11:$L100000,"=gelegt",$AV11:$AV100000, TRUE)</f>
        <v>0</v>
      </c>
      <c r="AE3" s="9">
        <f ca="1">SUMIFS(AE11:AE100000,$L11:$L100000,"=gelegt",$AV11:$AV100000, TRUE)</f>
        <v>0</v>
      </c>
      <c r="AF3" s="9">
        <f ca="1">SUMIFS(AF11:AF100000,$L11:$L100000,"=gelegt",$AV11:$AV100000, TRUE)</f>
        <v>0</v>
      </c>
      <c r="AG3" s="9">
        <f ca="1">SUMIFS(AG11:AG100000,$L11:$L100000,"=gelegt",$AV11:$AV100000, TRUE)</f>
        <v>0</v>
      </c>
      <c r="AH3" s="9">
        <f ca="1">SUMIFS(AH11:AH100000,$L11:$L100000,"=gelegt",$AV11:$AV100000, TRUE)</f>
        <v>0</v>
      </c>
      <c r="AI3" s="9">
        <f ca="1">SUMIFS(AI11:AI100000,$L11:$L100000,"=gelegt",$AV11:$AV100000, TRUE)</f>
        <v>0</v>
      </c>
      <c r="AJ3" s="9">
        <f ca="1">SUMIFS(AJ11:AJ100000,$L11:$L100000,"=gelegt",$AV11:$AV100000, TRUE)</f>
        <v>0</v>
      </c>
      <c r="AK3" s="9">
        <f ca="1">SUMIFS(AK11:AK100000,$L11:$L100000,"=gelegt",$AV11:$AV100000, TRUE)</f>
        <v>0</v>
      </c>
      <c r="AL3" s="9">
        <f ca="1">SUMIFS(AL11:AL100000,$L11:$L100000,"=gelegt",$AV11:$AV100000, TRUE)</f>
        <v>0</v>
      </c>
      <c r="AM3" s="9">
        <f ca="1">SUMIFS(AM11:AM100000,$L11:$L100000,"=gelegt",$AV11:$AV100000, TRUE)</f>
        <v>0</v>
      </c>
      <c r="AN3" s="9">
        <f ca="1">SUMIFS(AN11:AN100000,$L11:$L100000,"=gelegt",$AV11:$AV100000, TRUE)</f>
        <v>0</v>
      </c>
    </row>
    <row r="4" spans="1:49" x14ac:dyDescent="0.15">
      <c r="AB4" s="6" t="s">
        <v>22</v>
      </c>
      <c r="AC4" s="7">
        <f ca="1">SUMIFS(AC11:AC100000,$L11:$L100000,"=LOI",$AV11:$AV100000, TRUE)</f>
        <v>0</v>
      </c>
      <c r="AD4" s="7">
        <f ca="1">SUMIFS(AD11:AD100000,$L11:$L100000,"=LOI",$AV11:$AV100000, TRUE)</f>
        <v>0</v>
      </c>
      <c r="AE4" s="7">
        <f ca="1">SUMIFS(AE11:AE100000,$L11:$L100000,"=LOI",$AV11:$AV100000, TRUE)</f>
        <v>0</v>
      </c>
      <c r="AF4" s="7">
        <f ca="1">SUMIFS(AF11:AF100000,$L11:$L100000,"=LOI",$AV11:$AV100000, TRUE)</f>
        <v>0</v>
      </c>
      <c r="AG4" s="7">
        <f ca="1">SUMIFS(AG11:AG100000,$L11:$L100000,"=LOI",$AV11:$AV100000, TRUE)</f>
        <v>0</v>
      </c>
      <c r="AH4" s="7">
        <f ca="1">SUMIFS(AH11:AH100000,$L11:$L100000,"=LOI",$AV11:$AV100000, TRUE)</f>
        <v>0</v>
      </c>
      <c r="AI4" s="7">
        <f ca="1">SUMIFS(AI11:AI100000,$L11:$L100000,"=LOI",$AV11:$AV100000, TRUE)</f>
        <v>0</v>
      </c>
      <c r="AJ4" s="7">
        <f ca="1">SUMIFS(AJ11:AJ100000,$L11:$L100000,"=LOI",$AV11:$AV100000, TRUE)</f>
        <v>0</v>
      </c>
      <c r="AK4" s="7">
        <f ca="1">SUMIFS(AK11:AK100000,$L11:$L100000,"=LOI",$AV11:$AV100000, TRUE)</f>
        <v>0</v>
      </c>
      <c r="AL4" s="7">
        <f ca="1">SUMIFS(AL11:AL100000,$L11:$L100000,"=LOI",$AV11:$AV100000, TRUE)</f>
        <v>0</v>
      </c>
      <c r="AM4" s="7">
        <f ca="1">SUMIFS(AM11:AM100000,$L11:$L100000,"=LOI",$AV11:$AV100000, TRUE)</f>
        <v>0</v>
      </c>
      <c r="AN4" s="7">
        <f ca="1">SUMIFS(AN11:AN100000,$L11:$L100000,"=LOI",$AV11:$AV100000, TRUE)</f>
        <v>0</v>
      </c>
    </row>
    <row r="5" spans="1:49" x14ac:dyDescent="0.15">
      <c r="AB5" s="8" t="s">
        <v>43</v>
      </c>
      <c r="AC5" s="9">
        <f ca="1">SUMIFS(AC11:AC100000,$L11:$L100000,"=in Erstellung",$AV11:$AV100000, TRUE)</f>
        <v>0</v>
      </c>
      <c r="AD5" s="9">
        <f ca="1">SUMIFS(AD11:AD100000,$L11:$L100000,"=in Erstellung",$AV11:$AV100000, TRUE)</f>
        <v>0</v>
      </c>
      <c r="AE5" s="9">
        <f ca="1">SUMIFS(AE11:AE100000,$L11:$L100000,"=in Erstellung",$AV11:$AV100000, TRUE)</f>
        <v>0</v>
      </c>
      <c r="AF5" s="9">
        <f ca="1">SUMIFS(AF11:AF100000,$L11:$L100000,"=in Erstellung",$AV11:$AV100000, TRUE)</f>
        <v>0</v>
      </c>
      <c r="AG5" s="9">
        <f ca="1">SUMIFS(AG11:AG100000,$L11:$L100000,"=in Erstellung",$AV11:$AV100000, TRUE)</f>
        <v>0</v>
      </c>
      <c r="AH5" s="9">
        <f ca="1">SUMIFS(AH11:AH100000,$L11:$L100000,"=in Erstellung",$AV11:$AV100000, TRUE)</f>
        <v>0</v>
      </c>
      <c r="AI5" s="9">
        <f ca="1">SUMIFS(AI11:AI100000,$L11:$L100000,"=in Erstellung",$AV11:$AV100000, TRUE)</f>
        <v>0</v>
      </c>
      <c r="AJ5" s="9">
        <f ca="1">SUMIFS(AJ11:AJ100000,$L11:$L100000,"=in Erstellung",$AV11:$AV100000, TRUE)</f>
        <v>0</v>
      </c>
      <c r="AK5" s="9">
        <f ca="1">SUMIFS(AK11:AK100000,$L11:$L100000,"=in Erstellung",$AV11:$AV100000, TRUE)</f>
        <v>0</v>
      </c>
      <c r="AL5" s="9">
        <f ca="1">SUMIFS(AL11:AL100000,$L11:$L100000,"=in Erstellung",$AV11:$AV100000, TRUE)</f>
        <v>0</v>
      </c>
      <c r="AM5" s="9">
        <f ca="1">SUMIFS(AM11:AM100000,$L11:$L100000,"=in Erstellung",$AV11:$AV100000, TRUE)</f>
        <v>0</v>
      </c>
      <c r="AN5" s="9">
        <f ca="1">SUMIFS(AN11:AN100000,$L11:$L100000,"=in Erstellung",$AV11:$AV100000, TRUE)</f>
        <v>0</v>
      </c>
    </row>
    <row r="6" spans="1:49" x14ac:dyDescent="0.15">
      <c r="AB6" s="10" t="s">
        <v>23</v>
      </c>
      <c r="AC6" s="11">
        <f ca="1">SUMIFS(AC11:AC100000,$L11:$L100000,"=Potenzial",$AV11:$AV100000, TRUE)</f>
        <v>0</v>
      </c>
      <c r="AD6" s="11">
        <f ca="1">SUMIFS(AD11:AD100000,$L11:$L100000,"=Potenzial",$AV11:$AV100000, TRUE)</f>
        <v>0</v>
      </c>
      <c r="AE6" s="11">
        <f ca="1">SUMIFS(AE11:AE100000,$L11:$L100000,"=Potenzial",$AV11:$AV100000, TRUE)</f>
        <v>0</v>
      </c>
      <c r="AF6" s="11">
        <f ca="1">SUMIFS(AF11:AF100000,$L11:$L100000,"=Potenzial",$AV11:$AV100000, TRUE)</f>
        <v>0</v>
      </c>
      <c r="AG6" s="11">
        <f ca="1">SUMIFS(AG11:AG100000,$L11:$L100000,"=Potenzial",$AV11:$AV100000, TRUE)</f>
        <v>0</v>
      </c>
      <c r="AH6" s="11">
        <f ca="1">SUMIFS(AH11:AH100000,$L11:$L100000,"=Potenzial",$AV11:$AV100000, TRUE)</f>
        <v>0</v>
      </c>
      <c r="AI6" s="11">
        <f ca="1">SUMIFS(AI11:AI100000,$L11:$L100000,"=Potenzial",$AV11:$AV100000, TRUE)</f>
        <v>0</v>
      </c>
      <c r="AJ6" s="11">
        <f ca="1">SUMIFS(AJ11:AJ100000,$L11:$L100000,"=Potenzial",$AV11:$AV100000, TRUE)</f>
        <v>0</v>
      </c>
      <c r="AK6" s="11">
        <f ca="1">SUMIFS(AK11:AK100000,$L11:$L100000,"=Potenzial",$AV11:$AV100000, TRUE)</f>
        <v>0</v>
      </c>
      <c r="AL6" s="11">
        <f ca="1">SUMIFS(AL11:AL100000,$L11:$L100000,"=Potenzial",$AV11:$AV100000, TRUE)</f>
        <v>0</v>
      </c>
      <c r="AM6" s="11">
        <f ca="1">SUMIFS(AM11:AM100000,$L11:$L100000,"=Potenzial",$AV11:$AV100000, TRUE)</f>
        <v>0</v>
      </c>
      <c r="AN6" s="11">
        <f ca="1">SUMIFS(AN11:AN100000,$L11:$L100000,"=Potenzial",$AV11:$AV100000, TRUE)</f>
        <v>0</v>
      </c>
    </row>
    <row r="7" spans="1:49" x14ac:dyDescent="0.15">
      <c r="AB7" s="15" t="s">
        <v>27</v>
      </c>
      <c r="AC7" s="16">
        <f ca="1">MAX(SUM(AC2:AC6),AC8)</f>
        <v>0</v>
      </c>
      <c r="AD7" s="16">
        <f t="shared" ref="AD7:AN7" ca="1" si="0">MAX(SUM(AD2:AD6),AD8)</f>
        <v>0</v>
      </c>
      <c r="AE7" s="16">
        <f t="shared" ca="1" si="0"/>
        <v>0</v>
      </c>
      <c r="AF7" s="16">
        <f t="shared" ca="1" si="0"/>
        <v>0</v>
      </c>
      <c r="AG7" s="16">
        <f t="shared" ca="1" si="0"/>
        <v>0</v>
      </c>
      <c r="AH7" s="16">
        <f t="shared" ca="1" si="0"/>
        <v>0</v>
      </c>
      <c r="AI7" s="16">
        <f t="shared" ca="1" si="0"/>
        <v>0</v>
      </c>
      <c r="AJ7" s="16">
        <f t="shared" ca="1" si="0"/>
        <v>0</v>
      </c>
      <c r="AK7" s="16">
        <f t="shared" ca="1" si="0"/>
        <v>0</v>
      </c>
      <c r="AL7" s="16">
        <f t="shared" ca="1" si="0"/>
        <v>0</v>
      </c>
      <c r="AM7" s="16">
        <f t="shared" ca="1" si="0"/>
        <v>0</v>
      </c>
      <c r="AN7" s="16">
        <f t="shared" ca="1" si="0"/>
        <v>0</v>
      </c>
    </row>
    <row r="8" spans="1:49" x14ac:dyDescent="0.15">
      <c r="AB8" s="13" t="s">
        <v>25</v>
      </c>
      <c r="AC8" s="14">
        <f>SUMIFS(Planning_Invoices!M:M, Planning_Invoices!$Z:$Z, TRUE)</f>
        <v>0</v>
      </c>
      <c r="AD8" s="14">
        <f>SUMIFS(Planning_Invoices!N:N, Planning_Invoices!$Z:$Z, TRUE)</f>
        <v>0</v>
      </c>
      <c r="AE8" s="14">
        <f>SUMIFS(Planning_Invoices!O:O, Planning_Invoices!$Z:$Z, TRUE)</f>
        <v>0</v>
      </c>
      <c r="AF8" s="14">
        <f>SUMIFS(Planning_Invoices!P:P, Planning_Invoices!$Z:$Z, TRUE)</f>
        <v>0</v>
      </c>
      <c r="AG8" s="14">
        <f>SUMIFS(Planning_Invoices!Q:Q, Planning_Invoices!$Z:$Z, TRUE)</f>
        <v>0</v>
      </c>
      <c r="AH8" s="14">
        <f>SUMIFS(Planning_Invoices!R:R, Planning_Invoices!$Z:$Z, TRUE)</f>
        <v>0</v>
      </c>
      <c r="AI8" s="14">
        <f>SUMIFS(Planning_Invoices!S:S, Planning_Invoices!$Z:$Z, TRUE)</f>
        <v>0</v>
      </c>
      <c r="AJ8" s="14">
        <f>SUMIFS(Planning_Invoices!T:T, Planning_Invoices!$Z:$Z, TRUE)</f>
        <v>0</v>
      </c>
      <c r="AK8" s="14">
        <f>SUMIFS(Planning_Invoices!U:U, Planning_Invoices!$Z:$Z, TRUE)</f>
        <v>0</v>
      </c>
      <c r="AL8" s="14">
        <f>SUMIFS(Planning_Invoices!V:V, Planning_Invoices!$Z:$Z, TRUE)</f>
        <v>0</v>
      </c>
      <c r="AM8" s="14">
        <f>SUMIFS(Planning_Invoices!W:W, Planning_Invoices!$Z:$Z, TRUE)</f>
        <v>0</v>
      </c>
      <c r="AN8" s="14">
        <f>SUMIFS(Planning_Invoices!X:X, Planning_Invoices!$Z:$Z, TRUE)</f>
        <v>0</v>
      </c>
    </row>
    <row r="9" spans="1:49" x14ac:dyDescent="0.15">
      <c r="AB9" s="29"/>
    </row>
    <row r="10" spans="1:49"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c r="AC10" s="5" t="s">
        <v>37</v>
      </c>
      <c r="AD10" s="5" t="s">
        <v>38</v>
      </c>
      <c r="AE10" s="5" t="s">
        <v>39</v>
      </c>
      <c r="AF10" s="5" t="s">
        <v>40</v>
      </c>
      <c r="AG10" s="5" t="s">
        <v>41</v>
      </c>
      <c r="AH10" s="5" t="s">
        <v>42</v>
      </c>
      <c r="AI10" s="5" t="s">
        <v>31</v>
      </c>
      <c r="AJ10" s="5" t="s">
        <v>32</v>
      </c>
      <c r="AK10" s="5" t="s">
        <v>33</v>
      </c>
      <c r="AL10" s="5" t="s">
        <v>34</v>
      </c>
      <c r="AM10" s="5" t="s">
        <v>35</v>
      </c>
      <c r="AN10" s="5" t="s">
        <v>36</v>
      </c>
      <c r="AO10" s="22" t="s">
        <v>1</v>
      </c>
      <c r="AP10" s="22" t="s">
        <v>2</v>
      </c>
      <c r="AQ10" s="26" t="s">
        <v>54</v>
      </c>
      <c r="AR10" s="21" t="s">
        <v>16</v>
      </c>
      <c r="AS10" s="21" t="s">
        <v>17</v>
      </c>
      <c r="AT10" s="21" t="s">
        <v>18</v>
      </c>
      <c r="AU10" t="s">
        <v>97</v>
      </c>
      <c r="AV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13.5" bestFit="1"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5" spans="1:5" ht="41" customHeight="1" x14ac:dyDescent="0.15">
      <c r="A5" s="41" t="s">
        <v>94</v>
      </c>
      <c r="B5" s="42"/>
      <c r="C5" s="42"/>
      <c r="D5" s="42"/>
    </row>
    <row r="6" spans="1:5" ht="41" customHeight="1" x14ac:dyDescent="0.15">
      <c r="A6" s="40" t="s">
        <v>93</v>
      </c>
      <c r="B6" s="40"/>
      <c r="C6" s="40"/>
      <c r="D6" s="40"/>
    </row>
    <row r="8" spans="1:5" ht="41" customHeight="1" x14ac:dyDescent="0.15">
      <c r="A8" s="41" t="s">
        <v>92</v>
      </c>
      <c r="B8" s="41"/>
      <c r="C8" s="41"/>
      <c r="D8" s="41"/>
    </row>
    <row r="9" spans="1:5" ht="41" customHeight="1" x14ac:dyDescent="0.15">
      <c r="A9" s="40" t="s">
        <v>71</v>
      </c>
      <c r="B9" s="40"/>
      <c r="C9" s="40"/>
      <c r="D9" s="40"/>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9</vt:i4>
      </vt:variant>
    </vt:vector>
  </HeadingPairs>
  <TitlesOfParts>
    <vt:vector size="9" baseType="lpstr">
      <vt:lpstr>Forecast_Data</vt:lpstr>
      <vt:lpstr>Grafiken 1</vt:lpstr>
      <vt:lpstr>Grafiken 2</vt:lpstr>
      <vt:lpstr>Umsatz kumuliert</vt:lpstr>
      <vt:lpstr>Rechnungen</vt:lpstr>
      <vt:lpstr>Rechnungen 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Kai Reinhard</cp:lastModifiedBy>
  <dcterms:created xsi:type="dcterms:W3CDTF">2019-12-09T16:21:19Z</dcterms:created>
  <dcterms:modified xsi:type="dcterms:W3CDTF">2026-05-19T22:40:47Z</dcterms:modified>
</cp:coreProperties>
</file>