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threadedComments/threadedComment1.xml" ContentType="application/vnd.ms-excel.threadedcomments+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drawings/drawing2.xml" ContentType="application/vnd.openxmlformats-officedocument.drawing+xml"/>
  <Override PartName="/xl/charts/chart3.xml" ContentType="application/vnd.openxmlformats-officedocument.drawingml.chart+xml"/>
  <Override PartName="/xl/charts/chart4.xml" ContentType="application/vnd.openxmlformats-officedocument.drawingml.chart+xml"/>
  <Override PartName="/xl/comments2.xml" ContentType="application/vnd.openxmlformats-officedocument.spreadsheetml.comments+xml"/>
  <Override PartName="/xl/threadedComments/threadedComment2.xml" ContentType="application/vnd.ms-excel.threadedcomments+xml"/>
  <Override PartName="/xl/persons/person.xml" ContentType="application/vnd.ms-excel.person+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802"/>
  <workbookPr/>
  <mc:AlternateContent xmlns:mc="http://schemas.openxmlformats.org/markup-compatibility/2006">
    <mc:Choice Requires="x15">
      <x15ac:absPath xmlns:x15ac="http://schemas.microsoft.com/office/spreadsheetml/2010/11/ac" url="/Users/kai/workspace/Micromata/ProjectForge/projectforge-business/src/main/resources/officeTemplates/"/>
    </mc:Choice>
  </mc:AlternateContent>
  <xr:revisionPtr revIDLastSave="0" documentId="13_ncr:1_{F3876DD8-113B-394B-9B74-2CB70DA2CC4E}" xr6:coauthVersionLast="47" xr6:coauthVersionMax="47" xr10:uidLastSave="{00000000-0000-0000-0000-000000000000}"/>
  <bookViews>
    <workbookView xWindow="0" yWindow="1000" windowWidth="34560" windowHeight="21100" tabRatio="500" activeTab="1" xr2:uid="{00000000-000D-0000-FFFF-FFFF00000000}"/>
  </bookViews>
  <sheets>
    <sheet name="Forecast_Data" sheetId="1" r:id="rId1"/>
    <sheet name="Grafiken 1" sheetId="9" r:id="rId2"/>
    <sheet name="Grafiken 2" sheetId="2" r:id="rId3"/>
    <sheet name="Projektübersicht" sheetId="13" r:id="rId4"/>
    <sheet name="Umsatz kumuliert" sheetId="3" r:id="rId5"/>
    <sheet name="Rechnungen" sheetId="4" r:id="rId6"/>
    <sheet name="Rechnungen Vorjahr" sheetId="6" r:id="rId7"/>
    <sheet name="Rechnungen Vorvorjahr" sheetId="12" r:id="rId8"/>
    <sheet name="Planning_Data" sheetId="10" r:id="rId9"/>
    <sheet name="Planning_Invoices" sheetId="11" r:id="rId10"/>
    <sheet name="Info" sheetId="7" r:id="rId11"/>
  </sheets>
  <definedNames>
    <definedName name="__xlfn_SUMIFS">#N/A</definedName>
    <definedName name="_xlnm._FilterDatabase" localSheetId="0" hidden="1">Forecast_Data!$A$1:$AO$9</definedName>
    <definedName name="_xlnm._FilterDatabase" localSheetId="8" hidden="1">Planning_Data!$A$1:$AO$9</definedName>
    <definedName name="_xlnm._FilterDatabase" localSheetId="3" hidden="1">Projektübersicht!$A$1:$J$1</definedName>
  </definedNames>
  <calcPr calcId="191029" concurrentCalc="0"/>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calcFeatures>
    </ext>
  </extLst>
</workbook>
</file>

<file path=xl/calcChain.xml><?xml version="1.0" encoding="utf-8"?>
<calcChain xmlns="http://schemas.openxmlformats.org/spreadsheetml/2006/main">
  <c r="M12" i="3" l="1"/>
  <c r="L12" i="3"/>
  <c r="K12" i="3"/>
  <c r="J12" i="3"/>
  <c r="I12" i="3"/>
  <c r="H12" i="3"/>
  <c r="G12" i="3"/>
  <c r="F12" i="3"/>
  <c r="E12" i="3"/>
  <c r="E9" i="3"/>
  <c r="D12" i="3"/>
  <c r="C12" i="3"/>
  <c r="C11" i="3"/>
  <c r="D11" i="3"/>
  <c r="E11" i="3"/>
  <c r="F11" i="3"/>
  <c r="G11" i="3"/>
  <c r="H11" i="3"/>
  <c r="I11" i="3"/>
  <c r="J11" i="3"/>
  <c r="K11" i="3"/>
  <c r="L11" i="3"/>
  <c r="M11" i="3"/>
  <c r="B11" i="3"/>
  <c r="B12" i="3"/>
  <c r="AE8" i="10"/>
  <c r="AF8" i="10"/>
  <c r="AG8" i="10"/>
  <c r="AH8" i="10"/>
  <c r="AI8" i="10"/>
  <c r="AJ8" i="10"/>
  <c r="AK8" i="10"/>
  <c r="AL8" i="10"/>
  <c r="AM8" i="10"/>
  <c r="AN8" i="10"/>
  <c r="AO8" i="10"/>
  <c r="AE6" i="10"/>
  <c r="AF6" i="10"/>
  <c r="AG6" i="10"/>
  <c r="AH6" i="10"/>
  <c r="AI6" i="10"/>
  <c r="AJ6" i="10"/>
  <c r="AK6" i="10"/>
  <c r="AL6" i="10"/>
  <c r="AM6" i="10"/>
  <c r="AN6" i="10"/>
  <c r="AO6" i="10"/>
  <c r="AD6" i="10"/>
  <c r="AE5" i="10"/>
  <c r="AF5" i="10"/>
  <c r="AG5" i="10"/>
  <c r="AH5" i="10"/>
  <c r="AI5" i="10"/>
  <c r="AJ5" i="10"/>
  <c r="AK5" i="10"/>
  <c r="AL5" i="10"/>
  <c r="AM5" i="10"/>
  <c r="AN5" i="10"/>
  <c r="AO5" i="10"/>
  <c r="AD5" i="10"/>
  <c r="AE4" i="10"/>
  <c r="AF4" i="10"/>
  <c r="AG4" i="10"/>
  <c r="AH4" i="10"/>
  <c r="AI4" i="10"/>
  <c r="AJ4" i="10"/>
  <c r="AK4" i="10"/>
  <c r="AL4" i="10"/>
  <c r="AM4" i="10"/>
  <c r="AN4" i="10"/>
  <c r="AO4" i="10"/>
  <c r="AD4" i="10"/>
  <c r="AE3" i="10"/>
  <c r="AF3" i="10"/>
  <c r="AG3" i="10"/>
  <c r="AH3" i="10"/>
  <c r="AI3" i="10"/>
  <c r="AJ3" i="10"/>
  <c r="AK3" i="10"/>
  <c r="AL3" i="10"/>
  <c r="AM3" i="10"/>
  <c r="AN3" i="10"/>
  <c r="AO3" i="10"/>
  <c r="AD3" i="10"/>
  <c r="AE2" i="10"/>
  <c r="AF2" i="10"/>
  <c r="AG2" i="10"/>
  <c r="AH2" i="10"/>
  <c r="AI2" i="10"/>
  <c r="AJ2" i="10"/>
  <c r="AK2" i="10"/>
  <c r="AL2" i="10"/>
  <c r="AM2" i="10"/>
  <c r="AN2" i="10"/>
  <c r="AO2" i="10"/>
  <c r="AD2" i="10"/>
  <c r="AD8" i="10"/>
  <c r="AO6" i="1"/>
  <c r="AN6" i="1"/>
  <c r="AM6" i="1"/>
  <c r="AL6" i="1"/>
  <c r="AK6" i="1"/>
  <c r="AJ6" i="1"/>
  <c r="AI6" i="1"/>
  <c r="AH6" i="1"/>
  <c r="AG6" i="1"/>
  <c r="AF6" i="1"/>
  <c r="AE6" i="1"/>
  <c r="AD6" i="1"/>
  <c r="AE5" i="1"/>
  <c r="AF5" i="1"/>
  <c r="AG5" i="1"/>
  <c r="AH5" i="1"/>
  <c r="AI5" i="1"/>
  <c r="AJ5" i="1"/>
  <c r="AK5" i="1"/>
  <c r="AL5" i="1"/>
  <c r="AM5" i="1"/>
  <c r="AN5" i="1"/>
  <c r="AO5" i="1"/>
  <c r="AD5" i="1"/>
  <c r="AE4" i="1"/>
  <c r="AF4" i="1"/>
  <c r="AG4" i="1"/>
  <c r="AH4" i="1"/>
  <c r="AI4" i="1"/>
  <c r="AJ4" i="1"/>
  <c r="AK4" i="1"/>
  <c r="AL4" i="1"/>
  <c r="AM4" i="1"/>
  <c r="AN4" i="1"/>
  <c r="AO4" i="1"/>
  <c r="AD4" i="1"/>
  <c r="AE3" i="1"/>
  <c r="AF3" i="1"/>
  <c r="AG3" i="1"/>
  <c r="AH3" i="1"/>
  <c r="AI3" i="1"/>
  <c r="AJ3" i="1"/>
  <c r="AK3" i="1"/>
  <c r="AL3" i="1"/>
  <c r="AM3" i="1"/>
  <c r="AN3" i="1"/>
  <c r="AO3" i="1"/>
  <c r="AD3" i="1"/>
  <c r="AE2" i="1"/>
  <c r="AF2" i="1"/>
  <c r="AG2" i="1"/>
  <c r="AH2" i="1"/>
  <c r="AI2" i="1"/>
  <c r="AJ2" i="1"/>
  <c r="AK2" i="1"/>
  <c r="AL2" i="1"/>
  <c r="AM2" i="1"/>
  <c r="AN2" i="1"/>
  <c r="AO2" i="1"/>
  <c r="AD2" i="1"/>
  <c r="C8" i="3"/>
  <c r="D8" i="3"/>
  <c r="E8" i="3"/>
  <c r="F8" i="3"/>
  <c r="G8" i="3"/>
  <c r="H8" i="3"/>
  <c r="I8" i="3"/>
  <c r="J8" i="3"/>
  <c r="K8" i="3"/>
  <c r="L8" i="3"/>
  <c r="M8" i="3"/>
  <c r="B8" i="3"/>
  <c r="AE8" i="1"/>
  <c r="AF8" i="1"/>
  <c r="AG8" i="1"/>
  <c r="AH8" i="1"/>
  <c r="AI8" i="1"/>
  <c r="AJ8" i="1"/>
  <c r="AK8" i="1"/>
  <c r="AL8" i="1"/>
  <c r="AM8" i="1"/>
  <c r="AN8" i="1"/>
  <c r="AO8" i="1"/>
  <c r="AD8" i="1"/>
  <c r="C2" i="3"/>
  <c r="AE7" i="1"/>
  <c r="C3" i="3"/>
  <c r="C4" i="3"/>
  <c r="D2" i="3"/>
  <c r="AF7" i="1"/>
  <c r="D3" i="3"/>
  <c r="D4" i="3"/>
  <c r="E2" i="3"/>
  <c r="AG7" i="1"/>
  <c r="E3" i="3"/>
  <c r="E4" i="3"/>
  <c r="F2" i="3"/>
  <c r="AH7" i="1"/>
  <c r="F3" i="3"/>
  <c r="F4" i="3"/>
  <c r="G2" i="3"/>
  <c r="AI7" i="1"/>
  <c r="G3" i="3"/>
  <c r="G4" i="3"/>
  <c r="H2" i="3"/>
  <c r="AJ7" i="1"/>
  <c r="H3" i="3"/>
  <c r="H4" i="3"/>
  <c r="I2" i="3"/>
  <c r="AK7" i="1"/>
  <c r="I3" i="3"/>
  <c r="I4" i="3"/>
  <c r="J2" i="3"/>
  <c r="AL7" i="1"/>
  <c r="J3" i="3"/>
  <c r="J4" i="3"/>
  <c r="K2" i="3"/>
  <c r="AM7" i="1"/>
  <c r="K3" i="3"/>
  <c r="K4" i="3"/>
  <c r="L2" i="3"/>
  <c r="AN7" i="1"/>
  <c r="L3" i="3"/>
  <c r="L4" i="3"/>
  <c r="M2" i="3"/>
  <c r="AO7" i="1"/>
  <c r="M3" i="3"/>
  <c r="M4" i="3"/>
  <c r="B2" i="3"/>
  <c r="AD7" i="1"/>
  <c r="B3" i="3"/>
  <c r="B4" i="3"/>
  <c r="AE7" i="10"/>
  <c r="AF7" i="10"/>
  <c r="AG7" i="10"/>
  <c r="AH7" i="10"/>
  <c r="AI7" i="10"/>
  <c r="AJ7" i="10"/>
  <c r="AK7" i="10"/>
  <c r="AL7" i="10"/>
  <c r="AM7" i="10"/>
  <c r="AN7" i="10"/>
  <c r="AO7" i="10"/>
  <c r="AD7" i="10"/>
  <c r="AE9" i="1"/>
  <c r="AF9" i="1"/>
  <c r="AG9" i="1"/>
  <c r="AH9" i="1"/>
  <c r="AI9" i="1"/>
  <c r="AJ9" i="1"/>
  <c r="AK9" i="1"/>
  <c r="AL9" i="1"/>
  <c r="AM9" i="1"/>
  <c r="AN9" i="1"/>
  <c r="AO9" i="1"/>
  <c r="AD9" i="1"/>
  <c r="B9" i="3"/>
  <c r="C9" i="3"/>
  <c r="D9" i="3"/>
  <c r="F9" i="3"/>
  <c r="G9" i="3"/>
  <c r="H9" i="3"/>
  <c r="I9" i="3"/>
  <c r="J9" i="3"/>
  <c r="K9" i="3"/>
  <c r="L9" i="3"/>
  <c r="M9" i="3"/>
  <c r="B6" i="3"/>
  <c r="C6" i="3"/>
  <c r="D6" i="3"/>
  <c r="E6" i="3"/>
  <c r="F6" i="3"/>
  <c r="G6" i="3"/>
  <c r="H6" i="3"/>
  <c r="I6" i="3"/>
  <c r="J6" i="3"/>
  <c r="K6" i="3"/>
  <c r="L6" i="3"/>
  <c r="M6" i="3"/>
  <c r="B5" i="3"/>
  <c r="C5" i="3"/>
  <c r="D5" i="3"/>
  <c r="E5" i="3"/>
  <c r="F5" i="3"/>
  <c r="G5" i="3"/>
  <c r="H5" i="3"/>
  <c r="I5" i="3"/>
  <c r="J5" i="3"/>
  <c r="K5" i="3"/>
  <c r="L5" i="3"/>
  <c r="M5" i="3"/>
  <c r="B1" i="3"/>
  <c r="C1" i="3"/>
  <c r="D1" i="3"/>
  <c r="E1" i="3"/>
  <c r="F1" i="3"/>
  <c r="G1" i="3"/>
  <c r="H1" i="3"/>
  <c r="I1" i="3"/>
  <c r="J1" i="3"/>
  <c r="K1" i="3"/>
  <c r="L1" i="3"/>
  <c r="M1" i="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tc={E45442EF-B789-F747-94A0-67C234C866AE}</author>
    <author>tc={0E5EDB66-204F-AF48-AF0C-800703AD109B}</author>
    <author>tc={E18BEFC3-4A25-4C4E-8456-D4AA5435172B}</author>
    <author>tc={876D63B5-EF23-C74F-AFE0-495EE5563AFA}</author>
  </authors>
  <commentList>
    <comment ref="P10" authorId="0" shapeId="0" xr:uid="{E45442EF-B789-F747-94A0-67C234C866AE}">
      <text>
        <t>[Kommentarthread]
Ihre Version von Excel gestattet Ihnen das Lesen dieses Kommentarthreads. Jegliche Bearbeitungen daran werden jedoch entfernt, wenn die Datei in einer neueren Version von Excel geöffnet wird. Weitere Informationen: https://go.microsoft.com/fwlink/?linkid=870924.
Kommentar:
    Nettosumme gewichtet mit der Eintrittswahrscheinlichkeit</t>
      </text>
    </comment>
    <comment ref="R10" authorId="1" shapeId="0" xr:uid="{0E5EDB66-204F-AF48-AF0C-800703AD109B}">
      <text>
        <t>[Kommentarthread]
Ihre Version von Excel gestattet Ihnen das Lesen dieses Kommentarthreads. Jegliche Bearbeitungen daran werden jedoch entfernt, wenn die Datei in einer neueren Version von Excel geöffnet wird. Weitere Informationen: https://go.microsoft.com/fwlink/?linkid=870924.
Kommentar:
    gewichtete Nettosumme abzügiich bereits faktuierter Beträge</t>
      </text>
    </comment>
    <comment ref="Y10" authorId="2" shapeId="0" xr:uid="{E18BEFC3-4A25-4C4E-8456-D4AA5435172B}">
      <text>
        <t>[Kommentarthread]
Ihre Version von Excel gestattet Ihnen das Lesen dieses Kommentarthreads. Jegliche Bearbeitungen daran werden jedoch entfernt, wenn die Datei in einer neueren Version von Excel geöffnet wird. Weitere Informationen: https://go.microsoft.com/fwlink/?linkid=870924.
Kommentar:
    Diese Beträge sind nach dem betrachteten Forecast-Zeitraum noch offen. Werden demnach später in Rechnung gestellt.</t>
      </text>
    </comment>
    <comment ref="Z10" authorId="3" shapeId="0" xr:uid="{876D63B5-EF23-C74F-AFE0-495EE5563AFA}">
      <text>
        <t>[Kommentarthread]
Ihre Version von Excel gestattet Ihnen das Lesen dieses Kommentarthreads. Jegliche Bearbeitungen daran werden jedoch entfernt, wenn die Datei in einer neueren Version von Excel geöffnet wird. Weitere Informationen: https://go.microsoft.com/fwlink/?linkid=870924.
Kommentar:
    Das Budget ist um den angegebenen Betrag unter- (negative Werte) oder überschritten (positive Werte)</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tc={164688EE-C018-C74D-9C06-663D4DFF9926}</author>
    <author>tc={8A1ADE95-CAA9-B447-9E86-6A4505BBEEA3}</author>
    <author>tc={DDB2B422-1A98-B042-B162-FC9B5B1C5A39}</author>
    <author>tc={4BF7C68F-136F-1D47-BEF5-17303DC0469A}</author>
  </authors>
  <commentList>
    <comment ref="P10" authorId="0" shapeId="0" xr:uid="{164688EE-C018-C74D-9C06-663D4DFF9926}">
      <text>
        <t>[Kommentarthread]
Ihre Version von Excel gestattet Ihnen das Lesen dieses Kommentarthreads. Jegliche Bearbeitungen daran werden jedoch entfernt, wenn die Datei in einer neueren Version von Excel geöffnet wird. Weitere Informationen: https://go.microsoft.com/fwlink/?linkid=870924.
Kommentar:
    Nettosumme gewichtet mit der Eintrittswahrscheinlichkeit</t>
      </text>
    </comment>
    <comment ref="R10" authorId="1" shapeId="0" xr:uid="{8A1ADE95-CAA9-B447-9E86-6A4505BBEEA3}">
      <text>
        <t>[Kommentarthread]
Ihre Version von Excel gestattet Ihnen das Lesen dieses Kommentarthreads. Jegliche Bearbeitungen daran werden jedoch entfernt, wenn die Datei in einer neueren Version von Excel geöffnet wird. Weitere Informationen: https://go.microsoft.com/fwlink/?linkid=870924.
Kommentar:
    gewichtete Nettosumme abzügiich bereits faktuierter Beträge</t>
      </text>
    </comment>
    <comment ref="Y10" authorId="2" shapeId="0" xr:uid="{DDB2B422-1A98-B042-B162-FC9B5B1C5A39}">
      <text>
        <t>[Kommentarthread]
Ihre Version von Excel gestattet Ihnen das Lesen dieses Kommentarthreads. Jegliche Bearbeitungen daran werden jedoch entfernt, wenn die Datei in einer neueren Version von Excel geöffnet wird. Weitere Informationen: https://go.microsoft.com/fwlink/?linkid=870924.
Kommentar:
    Diese Beträge sind nach dem betrachteten Forecast-Zeitraum noch offen. Werden demnach später in Rechnung gestellt.</t>
      </text>
    </comment>
    <comment ref="Z10" authorId="3" shapeId="0" xr:uid="{4BF7C68F-136F-1D47-BEF5-17303DC0469A}">
      <text>
        <t>[Kommentarthread]
Ihre Version von Excel gestattet Ihnen das Lesen dieses Kommentarthreads. Jegliche Bearbeitungen daran werden jedoch entfernt, wenn die Datei in einer neueren Version von Excel geöffnet wird. Weitere Informationen: https://go.microsoft.com/fwlink/?linkid=870924.
Kommentar:
    Das Budget ist um den angegebenen Betrag unter- (negative Werte) oder überschritten (positive Werte)</t>
      </text>
    </comment>
  </commentList>
</comments>
</file>

<file path=xl/sharedStrings.xml><?xml version="1.0" encoding="utf-8"?>
<sst xmlns="http://schemas.openxmlformats.org/spreadsheetml/2006/main" count="411" uniqueCount="110">
  <si>
    <t>Nr.</t>
  </si>
  <si>
    <t>Erfassungsdatum</t>
  </si>
  <si>
    <t>Entscheidungsdatum</t>
  </si>
  <si>
    <t>Projekt</t>
  </si>
  <si>
    <t>Titel</t>
  </si>
  <si>
    <t>Art</t>
  </si>
  <si>
    <t>Abrechnungsart</t>
  </si>
  <si>
    <t>Auftrag Status</t>
  </si>
  <si>
    <t>Position Status</t>
  </si>
  <si>
    <t>PT</t>
  </si>
  <si>
    <t>Nettosumme</t>
  </si>
  <si>
    <t>fakturiert</t>
  </si>
  <si>
    <t>vollständig fakturiert</t>
  </si>
  <si>
    <t>Debitorenrechnungen</t>
  </si>
  <si>
    <t>Leistungszeitraum</t>
  </si>
  <si>
    <t>Eintrittswahrsch. in %</t>
  </si>
  <si>
    <t>Ansprechpartner</t>
  </si>
  <si>
    <t>Strukturelement</t>
  </si>
  <si>
    <t>Bemerkung</t>
  </si>
  <si>
    <t>Anzahl Monate</t>
  </si>
  <si>
    <t>beauftragt</t>
  </si>
  <si>
    <t>gelegt</t>
  </si>
  <si>
    <t>LOI</t>
  </si>
  <si>
    <t>Potenzial</t>
  </si>
  <si>
    <t>Gesamt oben</t>
  </si>
  <si>
    <t>IST</t>
  </si>
  <si>
    <t>PLAN</t>
  </si>
  <si>
    <t>Gesamt</t>
  </si>
  <si>
    <t>kumuliert</t>
  </si>
  <si>
    <t>Plan kumuliert</t>
  </si>
  <si>
    <t>Pos.-Titel</t>
  </si>
  <si>
    <t>Month 7</t>
  </si>
  <si>
    <t>Month 8</t>
  </si>
  <si>
    <t>Month 9</t>
  </si>
  <si>
    <t>Month 10</t>
  </si>
  <si>
    <t>Month 11</t>
  </si>
  <si>
    <t>Month 12</t>
  </si>
  <si>
    <t>Month 1</t>
  </si>
  <si>
    <t>Month 2</t>
  </si>
  <si>
    <t>Month 3</t>
  </si>
  <si>
    <t>Month 4</t>
  </si>
  <si>
    <t>Month 5</t>
  </si>
  <si>
    <t>Month 6</t>
  </si>
  <si>
    <t>in Erstellung</t>
  </si>
  <si>
    <t>Kunde</t>
  </si>
  <si>
    <t>Betreff</t>
  </si>
  <si>
    <t>Pos.</t>
  </si>
  <si>
    <t>Datum</t>
  </si>
  <si>
    <t>Bezahldatum</t>
  </si>
  <si>
    <t>Netto</t>
  </si>
  <si>
    <t>Auftrag</t>
  </si>
  <si>
    <t>Positionstext</t>
  </si>
  <si>
    <t>Vorjahr</t>
  </si>
  <si>
    <t>Vorjahr kumuliert</t>
  </si>
  <si>
    <t>Zahlplan</t>
  </si>
  <si>
    <t>gewichtete Nettosumme</t>
  </si>
  <si>
    <t>gewichtet offen</t>
  </si>
  <si>
    <t>Auftragsstatus</t>
  </si>
  <si>
    <t>Positionsstatus</t>
  </si>
  <si>
    <t>Probability</t>
  </si>
  <si>
    <t>ABGELEHNT</t>
  </si>
  <si>
    <t>*</t>
  </si>
  <si>
    <t>ERSETZT</t>
  </si>
  <si>
    <t>POTENZIAL</t>
  </si>
  <si>
    <t>or value</t>
  </si>
  <si>
    <t>OPTIONAL</t>
  </si>
  <si>
    <t>BEAUFTRAGT</t>
  </si>
  <si>
    <t>ABGESCHLOSSEN</t>
  </si>
  <si>
    <t>ESKALATION, GELEGT, IN_ERSTELLUNG</t>
  </si>
  <si>
    <t>ESKALATION, GELEGT, IN_ERSTELLUNG, LOI</t>
  </si>
  <si>
    <t>Step</t>
  </si>
  <si>
    <t>The probability of an order (position) is determined by the following steps (beginning with step 1).
The first matching entry is used. 'or value' means, that the probaility value given in the order is used, if given,
otherwise the default probability value is assumed.</t>
  </si>
  <si>
    <t>Date of creation</t>
  </si>
  <si>
    <t>Schritt</t>
  </si>
  <si>
    <t>Order state</t>
  </si>
  <si>
    <t>Position state</t>
  </si>
  <si>
    <t>Wahrscheinlichkeit</t>
  </si>
  <si>
    <t>oder Wert</t>
  </si>
  <si>
    <t>DECLINED</t>
  </si>
  <si>
    <t>REPLACED</t>
  </si>
  <si>
    <t>POTENTIAL</t>
  </si>
  <si>
    <t>COMMISSIONED</t>
  </si>
  <si>
    <t>COMPLETED</t>
  </si>
  <si>
    <t>ESCALATION, PLACED, BEEING_CREATED</t>
  </si>
  <si>
    <t>ESCALATION, PLACED, BEEING_CREATED, LOI</t>
  </si>
  <si>
    <t>Snapshot date</t>
  </si>
  <si>
    <t>Abweichung</t>
  </si>
  <si>
    <t>Rest</t>
  </si>
  <si>
    <t>Warnung</t>
  </si>
  <si>
    <t>Planning date</t>
  </si>
  <si>
    <t>Forecasttyp</t>
  </si>
  <si>
    <t>Angebotsdatum</t>
  </si>
  <si>
    <t>Probality / Wahrscheinlichkeit</t>
  </si>
  <si>
    <r>
      <t xml:space="preserve">The </t>
    </r>
    <r>
      <rPr>
        <b/>
        <sz val="10"/>
        <rFont val="Arial"/>
        <family val="2"/>
      </rPr>
      <t>payment plan</t>
    </r>
    <r>
      <rPr>
        <sz val="10"/>
        <rFont val="Arial"/>
        <family val="2"/>
      </rPr>
      <t xml:space="preserve"> is used first, if available.
</t>
    </r>
    <r>
      <rPr>
        <b/>
        <sz val="10"/>
        <rFont val="Arial"/>
        <family val="2"/>
      </rPr>
      <t>Fixed price projects</t>
    </r>
    <r>
      <rPr>
        <sz val="10"/>
        <rFont val="Arial"/>
        <family val="2"/>
      </rPr>
      <t xml:space="preserve"> are scheduled at the end of the performance period.
</t>
    </r>
    <r>
      <rPr>
        <b/>
        <sz val="10"/>
        <rFont val="Arial"/>
        <family val="2"/>
      </rPr>
      <t>Time and materials</t>
    </r>
    <r>
      <rPr>
        <sz val="10"/>
        <rFont val="Arial"/>
        <family val="2"/>
      </rPr>
      <t xml:space="preserve"> and </t>
    </r>
    <r>
      <rPr>
        <b/>
        <sz val="10"/>
        <rFont val="Arial"/>
        <family val="2"/>
      </rPr>
      <t>Flat-rate</t>
    </r>
    <r>
      <rPr>
        <sz val="10"/>
        <rFont val="Arial"/>
        <family val="2"/>
      </rPr>
      <t xml:space="preserve"> projects are distributed monthly during the performance period.</t>
    </r>
  </si>
  <si>
    <t>Distribution of Forecast / Monatsverteilung</t>
  </si>
  <si>
    <t>date</t>
  </si>
  <si>
    <t>visible</t>
  </si>
  <si>
    <t>ProjectID</t>
  </si>
  <si>
    <t>visibleID</t>
  </si>
  <si>
    <t>unused</t>
  </si>
  <si>
    <t>Unit</t>
  </si>
  <si>
    <t>Beschreibung Status</t>
  </si>
  <si>
    <t>Vorvorjahr</t>
  </si>
  <si>
    <t>Vorvorjahr kumuliert</t>
  </si>
  <si>
    <t>Unused budget (T&amp;M)</t>
  </si>
  <si>
    <t>Plan</t>
  </si>
  <si>
    <t>Forecast</t>
  </si>
  <si>
    <t>Differenz Vorjahr</t>
  </si>
  <si>
    <t>Differenz Vorvorjahr</t>
  </si>
  <si>
    <t>Differenz Plan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</si>
</sst>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4">
    <numFmt numFmtId="164" formatCode="dd/mm/yyyy"/>
    <numFmt numFmtId="165" formatCode="#,##0.00\ _€"/>
    <numFmt numFmtId="166" formatCode="#,##0.00&quot; €&quot;"/>
    <numFmt numFmtId="167" formatCode="#,##0.00\ &quot;€&quot;"/>
  </numFmts>
  <fonts count="18" x14ac:knownFonts="1">
    <font>
      <sz val="10"/>
      <name val="Arial"/>
      <family val="2"/>
    </font>
    <font>
      <sz val="10"/>
      <color indexed="9"/>
      <name val="Arial"/>
      <family val="2"/>
    </font>
    <font>
      <b/>
      <sz val="10"/>
      <color indexed="8"/>
      <name val="Arial"/>
      <family val="2"/>
    </font>
    <font>
      <sz val="10"/>
      <color indexed="10"/>
      <name val="Arial"/>
      <family val="2"/>
    </font>
    <font>
      <b/>
      <sz val="10"/>
      <color indexed="9"/>
      <name val="Arial"/>
      <family val="2"/>
    </font>
    <font>
      <i/>
      <sz val="10"/>
      <color indexed="23"/>
      <name val="Arial"/>
      <family val="2"/>
    </font>
    <font>
      <sz val="10"/>
      <color indexed="17"/>
      <name val="Arial"/>
      <family val="2"/>
    </font>
    <font>
      <sz val="18"/>
      <color indexed="8"/>
      <name val="Arial"/>
      <family val="2"/>
    </font>
    <font>
      <sz val="12"/>
      <color indexed="8"/>
      <name val="Arial"/>
      <family val="2"/>
    </font>
    <font>
      <b/>
      <sz val="24"/>
      <color indexed="8"/>
      <name val="Arial"/>
      <family val="2"/>
    </font>
    <font>
      <sz val="10"/>
      <color indexed="19"/>
      <name val="Arial"/>
      <family val="2"/>
    </font>
    <font>
      <sz val="10"/>
      <color indexed="63"/>
      <name val="Arial"/>
      <family val="2"/>
    </font>
    <font>
      <b/>
      <sz val="10"/>
      <name val="Arial"/>
      <family val="2"/>
    </font>
    <font>
      <i/>
      <sz val="10"/>
      <name val="Arial"/>
      <family val="2"/>
    </font>
    <font>
      <sz val="10"/>
      <name val="Arial"/>
      <family val="2"/>
    </font>
    <font>
      <b/>
      <sz val="12"/>
      <color theme="1"/>
      <name val="Calibri"/>
      <family val="2"/>
      <scheme val="minor"/>
    </font>
    <font>
      <b/>
      <sz val="16"/>
      <color rgb="FFFF0000"/>
      <name val="Arial"/>
      <family val="2"/>
    </font>
    <font>
      <b/>
      <sz val="18"/>
      <color rgb="FFFF0000"/>
      <name val="Arial"/>
      <family val="2"/>
    </font>
  </fonts>
  <fills count="14">
    <fill>
      <patternFill patternType="none"/>
    </fill>
    <fill>
      <patternFill patternType="gray125"/>
    </fill>
    <fill>
      <patternFill patternType="solid">
        <fgColor indexed="8"/>
        <bgColor indexed="58"/>
      </patternFill>
    </fill>
    <fill>
      <patternFill patternType="solid">
        <fgColor indexed="23"/>
        <bgColor indexed="55"/>
      </patternFill>
    </fill>
    <fill>
      <patternFill patternType="solid">
        <fgColor indexed="31"/>
        <bgColor indexed="45"/>
      </patternFill>
    </fill>
    <fill>
      <patternFill patternType="solid">
        <fgColor indexed="45"/>
        <bgColor indexed="47"/>
      </patternFill>
    </fill>
    <fill>
      <patternFill patternType="solid">
        <fgColor indexed="10"/>
        <bgColor indexed="16"/>
      </patternFill>
    </fill>
    <fill>
      <patternFill patternType="solid">
        <fgColor indexed="42"/>
        <bgColor indexed="27"/>
      </patternFill>
    </fill>
    <fill>
      <patternFill patternType="solid">
        <fgColor indexed="26"/>
        <bgColor indexed="9"/>
      </patternFill>
    </fill>
    <fill>
      <patternFill patternType="solid">
        <fgColor indexed="9"/>
        <bgColor indexed="26"/>
      </patternFill>
    </fill>
    <fill>
      <patternFill patternType="solid">
        <fgColor indexed="47"/>
        <bgColor indexed="45"/>
      </patternFill>
    </fill>
    <fill>
      <patternFill patternType="solid">
        <fgColor indexed="22"/>
        <bgColor indexed="31"/>
      </patternFill>
    </fill>
    <fill>
      <patternFill patternType="solid">
        <fgColor indexed="43"/>
        <bgColor indexed="26"/>
      </patternFill>
    </fill>
    <fill>
      <patternFill patternType="solid">
        <fgColor indexed="29"/>
        <bgColor indexed="52"/>
      </patternFill>
    </fill>
  </fills>
  <borders count="8">
    <border>
      <left/>
      <right/>
      <top/>
      <bottom/>
      <diagonal/>
    </border>
    <border>
      <left style="thin">
        <color indexed="23"/>
      </left>
      <right style="thin">
        <color indexed="23"/>
      </right>
      <top style="thin">
        <color indexed="23"/>
      </top>
      <bottom style="thin">
        <color indexed="23"/>
      </bottom>
      <diagonal/>
    </border>
    <border>
      <left style="thin">
        <color indexed="8"/>
      </left>
      <right style="thin">
        <color indexed="8"/>
      </right>
      <top style="thin">
        <color indexed="8"/>
      </top>
      <bottom style="thin">
        <color indexed="8"/>
      </bottom>
      <diagonal/>
    </border>
    <border>
      <left style="hair">
        <color indexed="8"/>
      </left>
      <right style="hair">
        <color indexed="8"/>
      </right>
      <top style="hair">
        <color indexed="8"/>
      </top>
      <bottom style="hair">
        <color indexed="8"/>
      </bottom>
      <diagonal/>
    </border>
    <border>
      <left style="thin">
        <color indexed="8"/>
      </left>
      <right style="thin">
        <color indexed="8"/>
      </right>
      <top/>
      <bottom/>
      <diagonal/>
    </border>
    <border>
      <left/>
      <right/>
      <top style="thin">
        <color indexed="8"/>
      </top>
      <bottom/>
      <diagonal/>
    </border>
    <border>
      <left style="thin">
        <color indexed="8"/>
      </left>
      <right/>
      <top style="thin">
        <color indexed="8"/>
      </top>
      <bottom style="thin">
        <color indexed="8"/>
      </bottom>
      <diagonal/>
    </border>
    <border>
      <left/>
      <right style="thin">
        <color indexed="8"/>
      </right>
      <top style="thin">
        <color indexed="8"/>
      </top>
      <bottom style="thin">
        <color indexed="8"/>
      </bottom>
      <diagonal/>
    </border>
  </borders>
  <cellStyleXfs count="17">
    <xf numFmtId="0" fontId="0" fillId="0" borderId="0"/>
    <xf numFmtId="0" fontId="1" fillId="2" borderId="0" applyNumberFormat="0" applyBorder="0" applyAlignment="0" applyProtection="0"/>
    <xf numFmtId="0" fontId="1" fillId="3" borderId="0" applyNumberFormat="0" applyBorder="0" applyAlignment="0" applyProtection="0"/>
    <xf numFmtId="0" fontId="2" fillId="4" borderId="0" applyNumberFormat="0" applyBorder="0" applyAlignment="0" applyProtection="0"/>
    <xf numFmtId="0" fontId="2" fillId="0" borderId="0" applyNumberFormat="0" applyFill="0" applyBorder="0" applyAlignment="0" applyProtection="0"/>
    <xf numFmtId="0" fontId="3" fillId="5" borderId="0" applyNumberFormat="0" applyBorder="0" applyAlignment="0" applyProtection="0"/>
    <xf numFmtId="0" fontId="4" fillId="6" borderId="0" applyNumberFormat="0" applyBorder="0" applyAlignment="0" applyProtection="0"/>
    <xf numFmtId="0" fontId="5" fillId="0" borderId="0" applyNumberFormat="0" applyFill="0" applyBorder="0" applyAlignment="0" applyProtection="0"/>
    <xf numFmtId="0" fontId="6" fillId="7" borderId="0" applyNumberFormat="0" applyBorder="0" applyAlignment="0" applyProtection="0"/>
    <xf numFmtId="0" fontId="7" fillId="0" borderId="0" applyNumberFormat="0" applyFill="0" applyBorder="0" applyAlignment="0" applyProtection="0"/>
    <xf numFmtId="0" fontId="8" fillId="0" borderId="0" applyNumberFormat="0" applyFill="0" applyBorder="0" applyAlignment="0" applyProtection="0"/>
    <xf numFmtId="0" fontId="9" fillId="0" borderId="0" applyNumberFormat="0" applyFill="0" applyBorder="0" applyAlignment="0" applyProtection="0"/>
    <xf numFmtId="0" fontId="10" fillId="8" borderId="0" applyNumberFormat="0" applyBorder="0" applyAlignment="0" applyProtection="0"/>
    <xf numFmtId="0" fontId="11" fillId="8" borderId="1" applyNumberFormat="0" applyAlignment="0" applyProtection="0"/>
    <xf numFmtId="0" fontId="14" fillId="0" borderId="0" applyNumberFormat="0" applyFill="0" applyBorder="0" applyAlignment="0" applyProtection="0"/>
    <xf numFmtId="0" fontId="14" fillId="0" borderId="0" applyNumberFormat="0" applyFill="0" applyBorder="0" applyAlignment="0" applyProtection="0"/>
    <xf numFmtId="0" fontId="3" fillId="0" borderId="0" applyNumberFormat="0" applyFill="0" applyBorder="0" applyAlignment="0" applyProtection="0"/>
  </cellStyleXfs>
  <cellXfs count="44">
    <xf numFmtId="0" fontId="0" fillId="0" borderId="0" xfId="0"/>
    <xf numFmtId="164" fontId="0" fillId="0" borderId="0" xfId="0" applyNumberFormat="1"/>
    <xf numFmtId="4" fontId="0" fillId="0" borderId="0" xfId="0" applyNumberFormat="1"/>
    <xf numFmtId="49" fontId="12" fillId="9" borderId="2" xfId="0" applyNumberFormat="1" applyFont="1" applyFill="1" applyBorder="1" applyAlignment="1">
      <alignment horizontal="left" wrapText="1"/>
    </xf>
    <xf numFmtId="164" fontId="12" fillId="9" borderId="2" xfId="0" applyNumberFormat="1" applyFont="1" applyFill="1" applyBorder="1" applyAlignment="1">
      <alignment horizontal="left" wrapText="1"/>
    </xf>
    <xf numFmtId="4" fontId="12" fillId="9" borderId="2" xfId="0" applyNumberFormat="1" applyFont="1" applyFill="1" applyBorder="1" applyAlignment="1">
      <alignment horizontal="left" wrapText="1"/>
    </xf>
    <xf numFmtId="0" fontId="0" fillId="10" borderId="0" xfId="0" applyFill="1"/>
    <xf numFmtId="4" fontId="0" fillId="10" borderId="0" xfId="0" applyNumberFormat="1" applyFill="1"/>
    <xf numFmtId="0" fontId="0" fillId="11" borderId="0" xfId="0" applyFill="1"/>
    <xf numFmtId="4" fontId="0" fillId="11" borderId="0" xfId="0" applyNumberFormat="1" applyFill="1"/>
    <xf numFmtId="0" fontId="0" fillId="12" borderId="0" xfId="0" applyFill="1"/>
    <xf numFmtId="4" fontId="0" fillId="12" borderId="0" xfId="0" applyNumberFormat="1" applyFill="1"/>
    <xf numFmtId="0" fontId="12" fillId="11" borderId="0" xfId="0" applyFont="1" applyFill="1"/>
    <xf numFmtId="0" fontId="12" fillId="0" borderId="0" xfId="0" applyFont="1"/>
    <xf numFmtId="4" fontId="12" fillId="0" borderId="0" xfId="0" applyNumberFormat="1" applyFont="1"/>
    <xf numFmtId="165" fontId="0" fillId="13" borderId="0" xfId="0" applyNumberFormat="1" applyFill="1"/>
    <xf numFmtId="4" fontId="0" fillId="13" borderId="0" xfId="0" applyNumberFormat="1" applyFill="1"/>
    <xf numFmtId="166" fontId="13" fillId="0" borderId="3" xfId="0" applyNumberFormat="1" applyFont="1" applyBorder="1"/>
    <xf numFmtId="166" fontId="0" fillId="0" borderId="3" xfId="0" applyNumberFormat="1" applyBorder="1"/>
    <xf numFmtId="166" fontId="0" fillId="0" borderId="0" xfId="0" applyNumberFormat="1"/>
    <xf numFmtId="0" fontId="0" fillId="0" borderId="0" xfId="0" applyAlignment="1">
      <alignment wrapText="1"/>
    </xf>
    <xf numFmtId="49" fontId="12" fillId="9" borderId="2" xfId="0" applyNumberFormat="1" applyFont="1" applyFill="1" applyBorder="1" applyAlignment="1">
      <alignment horizontal="left"/>
    </xf>
    <xf numFmtId="164" fontId="12" fillId="9" borderId="2" xfId="0" applyNumberFormat="1" applyFont="1" applyFill="1" applyBorder="1" applyAlignment="1">
      <alignment horizontal="left"/>
    </xf>
    <xf numFmtId="0" fontId="12" fillId="0" borderId="2" xfId="0" applyFont="1" applyBorder="1"/>
    <xf numFmtId="0" fontId="12" fillId="0" borderId="3" xfId="0" applyFont="1" applyBorder="1"/>
    <xf numFmtId="167" fontId="0" fillId="0" borderId="0" xfId="0" applyNumberFormat="1"/>
    <xf numFmtId="49" fontId="12" fillId="9" borderId="4" xfId="0" applyNumberFormat="1" applyFont="1" applyFill="1" applyBorder="1" applyAlignment="1">
      <alignment horizontal="left"/>
    </xf>
    <xf numFmtId="167" fontId="12" fillId="9" borderId="2" xfId="0" applyNumberFormat="1" applyFont="1" applyFill="1" applyBorder="1" applyAlignment="1">
      <alignment horizontal="left" wrapText="1"/>
    </xf>
    <xf numFmtId="0" fontId="15" fillId="0" borderId="0" xfId="0" applyFont="1"/>
    <xf numFmtId="165" fontId="0" fillId="0" borderId="0" xfId="0" applyNumberFormat="1"/>
    <xf numFmtId="14" fontId="0" fillId="0" borderId="0" xfId="0" applyNumberFormat="1" applyAlignment="1">
      <alignment horizontal="left" vertical="top"/>
    </xf>
    <xf numFmtId="14" fontId="17" fillId="0" borderId="0" xfId="0" applyNumberFormat="1" applyFont="1" applyAlignment="1">
      <alignment horizontal="left" vertical="top"/>
    </xf>
    <xf numFmtId="0" fontId="0" fillId="0" borderId="0" xfId="0" applyAlignment="1">
      <alignment vertical="center"/>
    </xf>
    <xf numFmtId="49" fontId="0" fillId="9" borderId="0" xfId="0" applyNumberFormat="1" applyFill="1" applyAlignment="1">
      <alignment horizontal="left"/>
    </xf>
    <xf numFmtId="14" fontId="16" fillId="0" borderId="0" xfId="0" applyNumberFormat="1" applyFont="1" applyAlignment="1">
      <alignment horizontal="left" vertical="center"/>
    </xf>
    <xf numFmtId="0" fontId="0" fillId="0" borderId="0" xfId="0" applyAlignment="1">
      <alignment horizontal="left" vertical="top" wrapText="1"/>
    </xf>
    <xf numFmtId="164" fontId="12" fillId="9" borderId="2" xfId="0" applyNumberFormat="1" applyFont="1" applyFill="1" applyBorder="1" applyAlignment="1">
      <alignment horizontal="left" wrapText="1"/>
    </xf>
    <xf numFmtId="14" fontId="16" fillId="0" borderId="5" xfId="0" applyNumberFormat="1" applyFont="1" applyBorder="1" applyAlignment="1">
      <alignment horizontal="left" vertical="center"/>
    </xf>
    <xf numFmtId="0" fontId="12" fillId="0" borderId="0" xfId="0" applyFont="1" applyAlignment="1">
      <alignment horizontal="left"/>
    </xf>
    <xf numFmtId="164" fontId="12" fillId="9" borderId="6" xfId="0" applyNumberFormat="1" applyFont="1" applyFill="1" applyBorder="1" applyAlignment="1">
      <alignment horizontal="left" wrapText="1"/>
    </xf>
    <xf numFmtId="164" fontId="12" fillId="9" borderId="7" xfId="0" applyNumberFormat="1" applyFont="1" applyFill="1" applyBorder="1" applyAlignment="1">
      <alignment horizontal="left" wrapText="1"/>
    </xf>
    <xf numFmtId="0" fontId="0" fillId="0" borderId="0" xfId="0" applyAlignment="1">
      <alignment horizontal="left" vertical="top" wrapText="1"/>
    </xf>
    <xf numFmtId="0" fontId="12" fillId="0" borderId="0" xfId="0" applyFont="1" applyAlignment="1">
      <alignment horizontal="left" vertical="center" wrapText="1"/>
    </xf>
    <xf numFmtId="0" fontId="0" fillId="0" borderId="0" xfId="0" applyAlignment="1">
      <alignment horizontal="left" vertical="center" wrapText="1"/>
    </xf>
  </cellXfs>
  <cellStyles count="17">
    <cellStyle name="Accent 1 1" xfId="1" xr:uid="{00000000-0005-0000-0000-000000000000}"/>
    <cellStyle name="Accent 2 1" xfId="2" xr:uid="{00000000-0005-0000-0000-000001000000}"/>
    <cellStyle name="Accent 3 1" xfId="3" xr:uid="{00000000-0005-0000-0000-000002000000}"/>
    <cellStyle name="Accent 4" xfId="4" xr:uid="{00000000-0005-0000-0000-000003000000}"/>
    <cellStyle name="Bad 1" xfId="5" xr:uid="{00000000-0005-0000-0000-000004000000}"/>
    <cellStyle name="Error 1" xfId="6" xr:uid="{00000000-0005-0000-0000-000005000000}"/>
    <cellStyle name="Footnote 1" xfId="7" xr:uid="{00000000-0005-0000-0000-000006000000}"/>
    <cellStyle name="Good 1" xfId="8" xr:uid="{00000000-0005-0000-0000-000007000000}"/>
    <cellStyle name="Heading 1 1" xfId="9" xr:uid="{00000000-0005-0000-0000-000008000000}"/>
    <cellStyle name="Heading 2 1" xfId="10" xr:uid="{00000000-0005-0000-0000-000009000000}"/>
    <cellStyle name="Heading 3" xfId="11" xr:uid="{00000000-0005-0000-0000-00000A000000}"/>
    <cellStyle name="Neutral 1" xfId="12" xr:uid="{00000000-0005-0000-0000-00000B000000}"/>
    <cellStyle name="Note 1" xfId="13" xr:uid="{00000000-0005-0000-0000-00000C000000}"/>
    <cellStyle name="Standard" xfId="0" builtinId="0"/>
    <cellStyle name="Status 1" xfId="14" xr:uid="{00000000-0005-0000-0000-00000E000000}"/>
    <cellStyle name="Text 1" xfId="15" xr:uid="{00000000-0005-0000-0000-00000F000000}"/>
    <cellStyle name="Warning 1" xfId="16" xr:uid="{00000000-0005-0000-0000-000010000000}"/>
  </cellStyles>
  <dxfs count="0"/>
  <tableStyles count="0" defaultTableStyle="TableStyleMedium9" defaultPivotStyle="PivotStyleMedium4"/>
  <colors>
    <indexedColors>
      <rgbColor rgb="00000000"/>
      <rgbColor rgb="00FFFFFF"/>
      <rgbColor rgb="00FF0000"/>
      <rgbColor rgb="0000FF00"/>
      <rgbColor rgb="000000FF"/>
      <rgbColor rgb="00FFFF00"/>
      <rgbColor rgb="00FF00FF"/>
      <rgbColor rgb="0000FFFF"/>
      <rgbColor rgb="00000000"/>
      <rgbColor rgb="00FFFFFF"/>
      <rgbColor rgb="00CC0000"/>
      <rgbColor rgb="0000FF00"/>
      <rgbColor rgb="000000FF"/>
      <rgbColor rgb="00FFFF00"/>
      <rgbColor rgb="00FF00FF"/>
      <rgbColor rgb="0000FFFF"/>
      <rgbColor rgb="00800000"/>
      <rgbColor rgb="00006600"/>
      <rgbColor rgb="00000080"/>
      <rgbColor rgb="00996600"/>
      <rgbColor rgb="00800080"/>
      <rgbColor rgb="00008080"/>
      <rgbColor rgb="00C0C0C0"/>
      <rgbColor rgb="00808080"/>
      <rgbColor rgb="009999FF"/>
      <rgbColor rgb="00993366"/>
      <rgbColor rgb="00FFFFCC"/>
      <rgbColor rgb="00CCFFFF"/>
      <rgbColor rgb="00660066"/>
      <rgbColor rgb="00FF8080"/>
      <rgbColor rgb="000066CC"/>
      <rgbColor rgb="00DDDDDD"/>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CCCC"/>
      <rgbColor rgb="00CC99FF"/>
      <rgbColor rgb="00FFCC99"/>
      <rgbColor rgb="003366FF"/>
      <rgbColor rgb="0033CCCC"/>
      <rgbColor rgb="0099CC00"/>
      <rgbColor rgb="00FFCC00"/>
      <rgbColor rgb="00FF9900"/>
      <rgbColor rgb="00FF420E"/>
      <rgbColor rgb="00666699"/>
      <rgbColor rgb="00969696"/>
      <rgbColor rgb="0000458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theme" Target="theme/theme1.xml"/><Relationship Id="rId2" Type="http://schemas.openxmlformats.org/officeDocument/2006/relationships/worksheet" Target="worksheets/sheet2.xml"/><Relationship Id="rId16"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microsoft.com/office/2017/10/relationships/person" Target="persons/person.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haredStrings" Target="sharedStrings.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de-DE"/>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600" b="1" i="0" u="none" strike="noStrike" kern="1200" baseline="0">
                <a:solidFill>
                  <a:schemeClr val="tx2"/>
                </a:solidFill>
                <a:latin typeface="Gotham Book" pitchFamily="2" charset="0"/>
                <a:ea typeface="+mn-ea"/>
                <a:cs typeface="+mn-cs"/>
              </a:defRPr>
            </a:pPr>
            <a:r>
              <a:rPr lang="de-DE">
                <a:latin typeface="Gotham Book" pitchFamily="2" charset="0"/>
              </a:rPr>
              <a:t>Umsatzprognose Monatswerte</a:t>
            </a:r>
          </a:p>
        </c:rich>
      </c:tx>
      <c:layout>
        <c:manualLayout>
          <c:xMode val="edge"/>
          <c:yMode val="edge"/>
          <c:x val="0.37592599883347916"/>
          <c:y val="5.791499992982161E-2"/>
        </c:manualLayout>
      </c:layout>
      <c:overlay val="0"/>
      <c:spPr>
        <a:noFill/>
        <a:ln>
          <a:noFill/>
        </a:ln>
        <a:effectLst/>
      </c:spPr>
      <c:txPr>
        <a:bodyPr rot="0" spcFirstLastPara="1" vertOverflow="ellipsis" vert="horz" wrap="square" anchor="ctr" anchorCtr="1"/>
        <a:lstStyle/>
        <a:p>
          <a:pPr>
            <a:defRPr sz="1600" b="1" i="0" u="none" strike="noStrike" kern="1200" baseline="0">
              <a:solidFill>
                <a:schemeClr val="tx2"/>
              </a:solidFill>
              <a:latin typeface="Gotham Book" pitchFamily="2" charset="0"/>
              <a:ea typeface="+mn-ea"/>
              <a:cs typeface="+mn-cs"/>
            </a:defRPr>
          </a:pPr>
          <a:endParaRPr lang="de-DE"/>
        </a:p>
      </c:txPr>
    </c:title>
    <c:autoTitleDeleted val="0"/>
    <c:plotArea>
      <c:layout>
        <c:manualLayout>
          <c:layoutTarget val="inner"/>
          <c:xMode val="edge"/>
          <c:yMode val="edge"/>
          <c:x val="6.111112492565577E-2"/>
          <c:y val="0.15250976032961835"/>
          <c:w val="0.83425944784872497"/>
          <c:h val="0.70270319949343141"/>
        </c:manualLayout>
      </c:layout>
      <c:barChart>
        <c:barDir val="col"/>
        <c:grouping val="stacked"/>
        <c:varyColors val="0"/>
        <c:ser>
          <c:idx val="2"/>
          <c:order val="1"/>
          <c:tx>
            <c:v>beauftragt</c:v>
          </c:tx>
          <c:spPr>
            <a:gradFill rotWithShape="1">
              <a:gsLst>
                <a:gs pos="0">
                  <a:schemeClr val="accent3">
                    <a:tint val="100000"/>
                    <a:shade val="100000"/>
                    <a:satMod val="130000"/>
                  </a:schemeClr>
                </a:gs>
                <a:gs pos="100000">
                  <a:schemeClr val="accent3">
                    <a:tint val="50000"/>
                    <a:shade val="100000"/>
                    <a:satMod val="350000"/>
                  </a:schemeClr>
                </a:gs>
              </a:gsLst>
              <a:lin ang="16200000" scaled="0"/>
            </a:gradFill>
            <a:ln>
              <a:noFill/>
            </a:ln>
            <a:effectLst>
              <a:outerShdw blurRad="40000" dist="23000" dir="5400000" rotWithShape="0">
                <a:srgbClr val="000000">
                  <a:alpha val="35000"/>
                </a:srgbClr>
              </a:outerShdw>
            </a:effectLst>
          </c:spPr>
          <c:invertIfNegative val="0"/>
          <c:val>
            <c:numRef>
              <c:f>Forecast_Data!$AD$2:$AO$2</c:f>
              <c:numCache>
                <c:formatCode>#,##0.00</c:formatCode>
                <c:ptCount val="12"/>
                <c:pt idx="0">
                  <c:v>0</c:v>
                </c:pt>
                <c:pt idx="1">
                  <c:v>0</c:v>
                </c:pt>
                <c:pt idx="2">
                  <c:v>0</c:v>
                </c:pt>
                <c:pt idx="3">
                  <c:v>0</c:v>
                </c:pt>
                <c:pt idx="4">
                  <c:v>0</c:v>
                </c:pt>
                <c:pt idx="5">
                  <c:v>0</c:v>
                </c:pt>
                <c:pt idx="6">
                  <c:v>0</c:v>
                </c:pt>
                <c:pt idx="7">
                  <c:v>0</c:v>
                </c:pt>
                <c:pt idx="8">
                  <c:v>0</c:v>
                </c:pt>
                <c:pt idx="9">
                  <c:v>0</c:v>
                </c:pt>
                <c:pt idx="10">
                  <c:v>0</c:v>
                </c:pt>
                <c:pt idx="11">
                  <c:v>0</c:v>
                </c:pt>
              </c:numCache>
            </c:numRef>
          </c:val>
          <c:extLst>
            <c:ext xmlns:c16="http://schemas.microsoft.com/office/drawing/2014/chart" uri="{C3380CC4-5D6E-409C-BE32-E72D297353CC}">
              <c16:uniqueId val="{00000000-B32B-A944-8796-DC91D72BEAD6}"/>
            </c:ext>
          </c:extLst>
        </c:ser>
        <c:ser>
          <c:idx val="3"/>
          <c:order val="2"/>
          <c:tx>
            <c:v>LOI</c:v>
          </c:tx>
          <c:spPr>
            <a:gradFill rotWithShape="1">
              <a:gsLst>
                <a:gs pos="0">
                  <a:schemeClr val="accent4">
                    <a:tint val="100000"/>
                    <a:shade val="100000"/>
                    <a:satMod val="130000"/>
                  </a:schemeClr>
                </a:gs>
                <a:gs pos="100000">
                  <a:schemeClr val="accent4">
                    <a:tint val="50000"/>
                    <a:shade val="100000"/>
                    <a:satMod val="350000"/>
                  </a:schemeClr>
                </a:gs>
              </a:gsLst>
              <a:lin ang="16200000" scaled="0"/>
            </a:gradFill>
            <a:ln>
              <a:noFill/>
            </a:ln>
            <a:effectLst>
              <a:outerShdw blurRad="40000" dist="23000" dir="5400000" rotWithShape="0">
                <a:srgbClr val="000000">
                  <a:alpha val="35000"/>
                </a:srgbClr>
              </a:outerShdw>
            </a:effectLst>
          </c:spPr>
          <c:invertIfNegative val="0"/>
          <c:val>
            <c:numRef>
              <c:f>Forecast_Data!$AD$4:$AO$4</c:f>
              <c:numCache>
                <c:formatCode>#,##0.00</c:formatCode>
                <c:ptCount val="12"/>
                <c:pt idx="0">
                  <c:v>0</c:v>
                </c:pt>
                <c:pt idx="1">
                  <c:v>0</c:v>
                </c:pt>
                <c:pt idx="2">
                  <c:v>0</c:v>
                </c:pt>
                <c:pt idx="3">
                  <c:v>0</c:v>
                </c:pt>
                <c:pt idx="4">
                  <c:v>0</c:v>
                </c:pt>
                <c:pt idx="5">
                  <c:v>0</c:v>
                </c:pt>
                <c:pt idx="6">
                  <c:v>0</c:v>
                </c:pt>
                <c:pt idx="7">
                  <c:v>0</c:v>
                </c:pt>
                <c:pt idx="8">
                  <c:v>0</c:v>
                </c:pt>
                <c:pt idx="9">
                  <c:v>0</c:v>
                </c:pt>
                <c:pt idx="10">
                  <c:v>0</c:v>
                </c:pt>
                <c:pt idx="11">
                  <c:v>0</c:v>
                </c:pt>
              </c:numCache>
            </c:numRef>
          </c:val>
          <c:extLst>
            <c:ext xmlns:c16="http://schemas.microsoft.com/office/drawing/2014/chart" uri="{C3380CC4-5D6E-409C-BE32-E72D297353CC}">
              <c16:uniqueId val="{00000001-B32B-A944-8796-DC91D72BEAD6}"/>
            </c:ext>
          </c:extLst>
        </c:ser>
        <c:ser>
          <c:idx val="4"/>
          <c:order val="3"/>
          <c:tx>
            <c:v>gelegt</c:v>
          </c:tx>
          <c:spPr>
            <a:gradFill rotWithShape="1">
              <a:gsLst>
                <a:gs pos="0">
                  <a:schemeClr val="accent5">
                    <a:tint val="100000"/>
                    <a:shade val="100000"/>
                    <a:satMod val="130000"/>
                  </a:schemeClr>
                </a:gs>
                <a:gs pos="100000">
                  <a:schemeClr val="accent5">
                    <a:tint val="50000"/>
                    <a:shade val="100000"/>
                    <a:satMod val="350000"/>
                  </a:schemeClr>
                </a:gs>
              </a:gsLst>
              <a:lin ang="16200000" scaled="0"/>
            </a:gradFill>
            <a:ln>
              <a:noFill/>
            </a:ln>
            <a:effectLst>
              <a:outerShdw blurRad="40000" dist="23000" dir="5400000" rotWithShape="0">
                <a:srgbClr val="000000">
                  <a:alpha val="35000"/>
                </a:srgbClr>
              </a:outerShdw>
            </a:effectLst>
          </c:spPr>
          <c:invertIfNegative val="0"/>
          <c:val>
            <c:numRef>
              <c:f>Forecast_Data!$AD$3:$AO$3</c:f>
              <c:numCache>
                <c:formatCode>#,##0.00</c:formatCode>
                <c:ptCount val="12"/>
                <c:pt idx="0">
                  <c:v>0</c:v>
                </c:pt>
                <c:pt idx="1">
                  <c:v>0</c:v>
                </c:pt>
                <c:pt idx="2">
                  <c:v>0</c:v>
                </c:pt>
                <c:pt idx="3">
                  <c:v>0</c:v>
                </c:pt>
                <c:pt idx="4">
                  <c:v>0</c:v>
                </c:pt>
                <c:pt idx="5">
                  <c:v>0</c:v>
                </c:pt>
                <c:pt idx="6">
                  <c:v>0</c:v>
                </c:pt>
                <c:pt idx="7">
                  <c:v>0</c:v>
                </c:pt>
                <c:pt idx="8">
                  <c:v>0</c:v>
                </c:pt>
                <c:pt idx="9">
                  <c:v>0</c:v>
                </c:pt>
                <c:pt idx="10">
                  <c:v>0</c:v>
                </c:pt>
                <c:pt idx="11">
                  <c:v>0</c:v>
                </c:pt>
              </c:numCache>
            </c:numRef>
          </c:val>
          <c:extLst>
            <c:ext xmlns:c16="http://schemas.microsoft.com/office/drawing/2014/chart" uri="{C3380CC4-5D6E-409C-BE32-E72D297353CC}">
              <c16:uniqueId val="{00000002-B32B-A944-8796-DC91D72BEAD6}"/>
            </c:ext>
          </c:extLst>
        </c:ser>
        <c:ser>
          <c:idx val="5"/>
          <c:order val="4"/>
          <c:tx>
            <c:v>Potenzial</c:v>
          </c:tx>
          <c:spPr>
            <a:gradFill rotWithShape="1">
              <a:gsLst>
                <a:gs pos="0">
                  <a:schemeClr val="accent6">
                    <a:tint val="100000"/>
                    <a:shade val="100000"/>
                    <a:satMod val="130000"/>
                  </a:schemeClr>
                </a:gs>
                <a:gs pos="100000">
                  <a:schemeClr val="accent6">
                    <a:tint val="50000"/>
                    <a:shade val="100000"/>
                    <a:satMod val="350000"/>
                  </a:schemeClr>
                </a:gs>
              </a:gsLst>
              <a:lin ang="16200000" scaled="0"/>
            </a:gradFill>
            <a:ln>
              <a:noFill/>
            </a:ln>
            <a:effectLst>
              <a:outerShdw blurRad="40000" dist="23000" dir="5400000" rotWithShape="0">
                <a:srgbClr val="000000">
                  <a:alpha val="35000"/>
                </a:srgbClr>
              </a:outerShdw>
            </a:effectLst>
          </c:spPr>
          <c:invertIfNegative val="0"/>
          <c:val>
            <c:numRef>
              <c:f>Forecast_Data!$AD$6:$AO$6</c:f>
              <c:numCache>
                <c:formatCode>#,##0.00</c:formatCode>
                <c:ptCount val="12"/>
                <c:pt idx="0">
                  <c:v>0</c:v>
                </c:pt>
                <c:pt idx="1">
                  <c:v>0</c:v>
                </c:pt>
                <c:pt idx="2">
                  <c:v>0</c:v>
                </c:pt>
                <c:pt idx="3">
                  <c:v>0</c:v>
                </c:pt>
                <c:pt idx="4">
                  <c:v>0</c:v>
                </c:pt>
                <c:pt idx="5">
                  <c:v>0</c:v>
                </c:pt>
                <c:pt idx="6">
                  <c:v>0</c:v>
                </c:pt>
                <c:pt idx="7">
                  <c:v>0</c:v>
                </c:pt>
                <c:pt idx="8">
                  <c:v>0</c:v>
                </c:pt>
                <c:pt idx="9">
                  <c:v>0</c:v>
                </c:pt>
                <c:pt idx="10">
                  <c:v>0</c:v>
                </c:pt>
                <c:pt idx="11">
                  <c:v>0</c:v>
                </c:pt>
              </c:numCache>
            </c:numRef>
          </c:val>
          <c:extLst>
            <c:ext xmlns:c16="http://schemas.microsoft.com/office/drawing/2014/chart" uri="{C3380CC4-5D6E-409C-BE32-E72D297353CC}">
              <c16:uniqueId val="{00000003-B32B-A944-8796-DC91D72BEAD6}"/>
            </c:ext>
          </c:extLst>
        </c:ser>
        <c:ser>
          <c:idx val="6"/>
          <c:order val="5"/>
          <c:tx>
            <c:v>in Erstellung</c:v>
          </c:tx>
          <c:spPr>
            <a:gradFill rotWithShape="1">
              <a:gsLst>
                <a:gs pos="0">
                  <a:schemeClr val="accent1">
                    <a:lumMod val="60000"/>
                    <a:tint val="100000"/>
                    <a:shade val="100000"/>
                    <a:satMod val="130000"/>
                  </a:schemeClr>
                </a:gs>
                <a:gs pos="100000">
                  <a:schemeClr val="accent1">
                    <a:lumMod val="60000"/>
                    <a:tint val="50000"/>
                    <a:shade val="100000"/>
                    <a:satMod val="350000"/>
                  </a:schemeClr>
                </a:gs>
              </a:gsLst>
              <a:lin ang="16200000" scaled="0"/>
            </a:gradFill>
            <a:ln>
              <a:noFill/>
            </a:ln>
            <a:effectLst>
              <a:outerShdw blurRad="40000" dist="23000" dir="5400000" rotWithShape="0">
                <a:srgbClr val="000000">
                  <a:alpha val="35000"/>
                </a:srgbClr>
              </a:outerShdw>
            </a:effectLst>
          </c:spPr>
          <c:invertIfNegative val="0"/>
          <c:val>
            <c:numRef>
              <c:f>Forecast_Data!$AD$5:$AO$5</c:f>
              <c:numCache>
                <c:formatCode>#,##0.00</c:formatCode>
                <c:ptCount val="12"/>
                <c:pt idx="0">
                  <c:v>0</c:v>
                </c:pt>
                <c:pt idx="1">
                  <c:v>0</c:v>
                </c:pt>
                <c:pt idx="2">
                  <c:v>0</c:v>
                </c:pt>
                <c:pt idx="3">
                  <c:v>0</c:v>
                </c:pt>
                <c:pt idx="4">
                  <c:v>0</c:v>
                </c:pt>
                <c:pt idx="5">
                  <c:v>0</c:v>
                </c:pt>
                <c:pt idx="6">
                  <c:v>0</c:v>
                </c:pt>
                <c:pt idx="7">
                  <c:v>0</c:v>
                </c:pt>
                <c:pt idx="8">
                  <c:v>0</c:v>
                </c:pt>
                <c:pt idx="9">
                  <c:v>0</c:v>
                </c:pt>
                <c:pt idx="10">
                  <c:v>0</c:v>
                </c:pt>
                <c:pt idx="11">
                  <c:v>0</c:v>
                </c:pt>
              </c:numCache>
            </c:numRef>
          </c:val>
          <c:extLst>
            <c:ext xmlns:c16="http://schemas.microsoft.com/office/drawing/2014/chart" uri="{C3380CC4-5D6E-409C-BE32-E72D297353CC}">
              <c16:uniqueId val="{00000004-B32B-A944-8796-DC91D72BEAD6}"/>
            </c:ext>
          </c:extLst>
        </c:ser>
        <c:ser>
          <c:idx val="0"/>
          <c:order val="6"/>
          <c:tx>
            <c:v>Ist</c:v>
          </c:tx>
          <c:spPr>
            <a:solidFill>
              <a:schemeClr val="bg1">
                <a:lumMod val="75000"/>
              </a:schemeClr>
            </a:solidFill>
            <a:ln>
              <a:noFill/>
            </a:ln>
            <a:effectLst>
              <a:outerShdw blurRad="40000" dist="23000" dir="5400000" rotWithShape="0">
                <a:srgbClr val="000000">
                  <a:alpha val="35000"/>
                </a:srgbClr>
              </a:outerShdw>
            </a:effectLst>
          </c:spPr>
          <c:invertIfNegative val="0"/>
          <c:val>
            <c:numRef>
              <c:f>Forecast_Data!$AD$8:$AO$8</c:f>
              <c:numCache>
                <c:formatCode>#,##0.00</c:formatCode>
                <c:ptCount val="12"/>
                <c:pt idx="0">
                  <c:v>0</c:v>
                </c:pt>
                <c:pt idx="1">
                  <c:v>0</c:v>
                </c:pt>
                <c:pt idx="2">
                  <c:v>0</c:v>
                </c:pt>
                <c:pt idx="3">
                  <c:v>0</c:v>
                </c:pt>
                <c:pt idx="4">
                  <c:v>0</c:v>
                </c:pt>
                <c:pt idx="5">
                  <c:v>0</c:v>
                </c:pt>
                <c:pt idx="6">
                  <c:v>0</c:v>
                </c:pt>
                <c:pt idx="7">
                  <c:v>0</c:v>
                </c:pt>
                <c:pt idx="8">
                  <c:v>0</c:v>
                </c:pt>
                <c:pt idx="9">
                  <c:v>0</c:v>
                </c:pt>
                <c:pt idx="10">
                  <c:v>0</c:v>
                </c:pt>
                <c:pt idx="11">
                  <c:v>0</c:v>
                </c:pt>
              </c:numCache>
            </c:numRef>
          </c:val>
          <c:extLst>
            <c:ext xmlns:c16="http://schemas.microsoft.com/office/drawing/2014/chart" uri="{C3380CC4-5D6E-409C-BE32-E72D297353CC}">
              <c16:uniqueId val="{00000005-B32B-A944-8796-DC91D72BEAD6}"/>
            </c:ext>
          </c:extLst>
        </c:ser>
        <c:dLbls>
          <c:showLegendKey val="0"/>
          <c:showVal val="0"/>
          <c:showCatName val="0"/>
          <c:showSerName val="0"/>
          <c:showPercent val="0"/>
          <c:showBubbleSize val="0"/>
        </c:dLbls>
        <c:gapWidth val="269"/>
        <c:overlap val="100"/>
        <c:axId val="1769920863"/>
        <c:axId val="1"/>
      </c:barChart>
      <c:lineChart>
        <c:grouping val="standard"/>
        <c:varyColors val="0"/>
        <c:ser>
          <c:idx val="1"/>
          <c:order val="0"/>
          <c:tx>
            <c:strRef>
              <c:f>Forecast_Data!$AC$9</c:f>
              <c:strCache>
                <c:ptCount val="1"/>
                <c:pt idx="0">
                  <c:v>PLAN</c:v>
                </c:pt>
              </c:strCache>
            </c:strRef>
          </c:tx>
          <c:spPr>
            <a:ln w="31750" cap="rnd">
              <a:solidFill>
                <a:schemeClr val="accent2"/>
              </a:solidFill>
              <a:round/>
            </a:ln>
            <a:effectLst>
              <a:outerShdw blurRad="40000" dist="23000" dir="5400000" rotWithShape="0">
                <a:srgbClr val="000000">
                  <a:alpha val="35000"/>
                </a:srgbClr>
              </a:outerShdw>
            </a:effectLst>
          </c:spPr>
          <c:marker>
            <c:symbol val="none"/>
          </c:marker>
          <c:cat>
            <c:strRef>
              <c:f>Forecast_Data!$AD$1:$AO$1</c:f>
              <c:strCache>
                <c:ptCount val="12"/>
                <c:pt idx="0">
                  <c:v>Month 1</c:v>
                </c:pt>
                <c:pt idx="1">
                  <c:v>Month 2</c:v>
                </c:pt>
                <c:pt idx="2">
                  <c:v>Month 3</c:v>
                </c:pt>
                <c:pt idx="3">
                  <c:v>Month 4</c:v>
                </c:pt>
                <c:pt idx="4">
                  <c:v>Month 5</c:v>
                </c:pt>
                <c:pt idx="5">
                  <c:v>Month 6</c:v>
                </c:pt>
                <c:pt idx="6">
                  <c:v>Month 7</c:v>
                </c:pt>
                <c:pt idx="7">
                  <c:v>Month 8</c:v>
                </c:pt>
                <c:pt idx="8">
                  <c:v>Month 9</c:v>
                </c:pt>
                <c:pt idx="9">
                  <c:v>Month 10</c:v>
                </c:pt>
                <c:pt idx="10">
                  <c:v>Month 11</c:v>
                </c:pt>
                <c:pt idx="11">
                  <c:v>Month 12</c:v>
                </c:pt>
              </c:strCache>
            </c:strRef>
          </c:cat>
          <c:val>
            <c:numRef>
              <c:f>Forecast_Data!$AD$9:$AO$9</c:f>
              <c:numCache>
                <c:formatCode>#,##0.00</c:formatCode>
                <c:ptCount val="12"/>
                <c:pt idx="0">
                  <c:v>0</c:v>
                </c:pt>
                <c:pt idx="1">
                  <c:v>0</c:v>
                </c:pt>
                <c:pt idx="2">
                  <c:v>0</c:v>
                </c:pt>
                <c:pt idx="3">
                  <c:v>0</c:v>
                </c:pt>
                <c:pt idx="4">
                  <c:v>0</c:v>
                </c:pt>
                <c:pt idx="5">
                  <c:v>0</c:v>
                </c:pt>
                <c:pt idx="6">
                  <c:v>0</c:v>
                </c:pt>
                <c:pt idx="7">
                  <c:v>0</c:v>
                </c:pt>
                <c:pt idx="8">
                  <c:v>0</c:v>
                </c:pt>
                <c:pt idx="9">
                  <c:v>0</c:v>
                </c:pt>
                <c:pt idx="10">
                  <c:v>0</c:v>
                </c:pt>
                <c:pt idx="11">
                  <c:v>0</c:v>
                </c:pt>
              </c:numCache>
            </c:numRef>
          </c:val>
          <c:smooth val="0"/>
          <c:extLst>
            <c:ext xmlns:c16="http://schemas.microsoft.com/office/drawing/2014/chart" uri="{C3380CC4-5D6E-409C-BE32-E72D297353CC}">
              <c16:uniqueId val="{00000006-B32B-A944-8796-DC91D72BEAD6}"/>
            </c:ext>
          </c:extLst>
        </c:ser>
        <c:ser>
          <c:idx val="7"/>
          <c:order val="7"/>
          <c:tx>
            <c:v>Vorjahr</c:v>
          </c:tx>
          <c:spPr>
            <a:ln w="31750" cap="rnd">
              <a:solidFill>
                <a:schemeClr val="accent3"/>
              </a:solidFill>
              <a:round/>
            </a:ln>
            <a:effectLst>
              <a:outerShdw blurRad="40000" dist="23000" dir="5400000" rotWithShape="0">
                <a:srgbClr val="000000">
                  <a:alpha val="35000"/>
                </a:srgbClr>
              </a:outerShdw>
            </a:effectLst>
          </c:spPr>
          <c:marker>
            <c:symbol val="none"/>
          </c:marker>
          <c:val>
            <c:numRef>
              <c:f>'Umsatz kumuliert'!$B$8:$M$8</c:f>
              <c:numCache>
                <c:formatCode>#,##0.00" €"</c:formatCode>
                <c:ptCount val="12"/>
                <c:pt idx="0">
                  <c:v>0</c:v>
                </c:pt>
                <c:pt idx="1">
                  <c:v>0</c:v>
                </c:pt>
                <c:pt idx="2">
                  <c:v>0</c:v>
                </c:pt>
                <c:pt idx="3">
                  <c:v>0</c:v>
                </c:pt>
                <c:pt idx="4">
                  <c:v>0</c:v>
                </c:pt>
                <c:pt idx="5">
                  <c:v>0</c:v>
                </c:pt>
                <c:pt idx="6">
                  <c:v>0</c:v>
                </c:pt>
                <c:pt idx="7">
                  <c:v>0</c:v>
                </c:pt>
                <c:pt idx="8">
                  <c:v>0</c:v>
                </c:pt>
                <c:pt idx="9">
                  <c:v>0</c:v>
                </c:pt>
                <c:pt idx="10">
                  <c:v>0</c:v>
                </c:pt>
                <c:pt idx="11">
                  <c:v>0</c:v>
                </c:pt>
              </c:numCache>
            </c:numRef>
          </c:val>
          <c:smooth val="0"/>
          <c:extLst>
            <c:ext xmlns:c16="http://schemas.microsoft.com/office/drawing/2014/chart" uri="{C3380CC4-5D6E-409C-BE32-E72D297353CC}">
              <c16:uniqueId val="{00000000-1C79-C54F-97EE-FC7D87589FA6}"/>
            </c:ext>
          </c:extLst>
        </c:ser>
        <c:ser>
          <c:idx val="8"/>
          <c:order val="8"/>
          <c:tx>
            <c:v>Vorvorjahr</c:v>
          </c:tx>
          <c:spPr>
            <a:ln w="31750" cap="rnd">
              <a:solidFill>
                <a:schemeClr val="bg1">
                  <a:lumMod val="75000"/>
                </a:schemeClr>
              </a:solidFill>
              <a:prstDash val="sysDot"/>
              <a:round/>
            </a:ln>
            <a:effectLst>
              <a:outerShdw blurRad="40000" dist="23000" dir="5400000" rotWithShape="0">
                <a:srgbClr val="000000">
                  <a:alpha val="35000"/>
                </a:srgbClr>
              </a:outerShdw>
            </a:effectLst>
          </c:spPr>
          <c:marker>
            <c:symbol val="none"/>
          </c:marker>
          <c:val>
            <c:numRef>
              <c:f>'Umsatz kumuliert'!$B$11:$M$11</c:f>
              <c:numCache>
                <c:formatCode>General</c:formatCode>
                <c:ptCount val="12"/>
                <c:pt idx="0">
                  <c:v>0</c:v>
                </c:pt>
                <c:pt idx="1">
                  <c:v>0</c:v>
                </c:pt>
                <c:pt idx="2">
                  <c:v>0</c:v>
                </c:pt>
                <c:pt idx="3">
                  <c:v>0</c:v>
                </c:pt>
                <c:pt idx="4">
                  <c:v>0</c:v>
                </c:pt>
                <c:pt idx="5">
                  <c:v>0</c:v>
                </c:pt>
                <c:pt idx="6">
                  <c:v>0</c:v>
                </c:pt>
                <c:pt idx="7">
                  <c:v>0</c:v>
                </c:pt>
                <c:pt idx="8">
                  <c:v>0</c:v>
                </c:pt>
                <c:pt idx="9">
                  <c:v>0</c:v>
                </c:pt>
                <c:pt idx="10">
                  <c:v>0</c:v>
                </c:pt>
                <c:pt idx="11">
                  <c:v>0</c:v>
                </c:pt>
              </c:numCache>
            </c:numRef>
          </c:val>
          <c:smooth val="0"/>
          <c:extLst>
            <c:ext xmlns:c16="http://schemas.microsoft.com/office/drawing/2014/chart" uri="{C3380CC4-5D6E-409C-BE32-E72D297353CC}">
              <c16:uniqueId val="{00000000-C2C1-2046-A045-6C8A627C62F8}"/>
            </c:ext>
          </c:extLst>
        </c:ser>
        <c:dLbls>
          <c:showLegendKey val="0"/>
          <c:showVal val="0"/>
          <c:showCatName val="0"/>
          <c:showSerName val="0"/>
          <c:showPercent val="0"/>
          <c:showBubbleSize val="0"/>
        </c:dLbls>
        <c:marker val="1"/>
        <c:smooth val="0"/>
        <c:axId val="1769920863"/>
        <c:axId val="1"/>
      </c:lineChart>
      <c:catAx>
        <c:axId val="1769920863"/>
        <c:scaling>
          <c:orientation val="minMax"/>
        </c:scaling>
        <c:delete val="0"/>
        <c:axPos val="b"/>
        <c:title>
          <c:tx>
            <c:rich>
              <a:bodyPr rot="0" spcFirstLastPara="1" vertOverflow="ellipsis" vert="horz" wrap="square" anchor="ctr" anchorCtr="1"/>
              <a:lstStyle/>
              <a:p>
                <a:pPr>
                  <a:defRPr sz="900" b="1" i="0" u="none" strike="noStrike" kern="1200" baseline="0">
                    <a:solidFill>
                      <a:schemeClr val="tx2"/>
                    </a:solidFill>
                    <a:latin typeface="+mn-lt"/>
                    <a:ea typeface="+mn-ea"/>
                    <a:cs typeface="+mn-cs"/>
                  </a:defRPr>
                </a:pPr>
                <a:r>
                  <a:rPr lang="de-DE"/>
                  <a:t>Monat</a:t>
                </a:r>
              </a:p>
            </c:rich>
          </c:tx>
          <c:layout>
            <c:manualLayout>
              <c:xMode val="edge"/>
              <c:yMode val="edge"/>
              <c:x val="0.46388896179644212"/>
              <c:y val="0.90540598200625988"/>
            </c:manualLayout>
          </c:layout>
          <c:overlay val="0"/>
          <c:spPr>
            <a:noFill/>
            <a:ln>
              <a:noFill/>
            </a:ln>
            <a:effectLst/>
          </c:spPr>
          <c:txPr>
            <a:bodyPr rot="0" spcFirstLastPara="1" vertOverflow="ellipsis" vert="horz" wrap="square" anchor="ctr" anchorCtr="1"/>
            <a:lstStyle/>
            <a:p>
              <a:pPr>
                <a:defRPr sz="900" b="1" i="0" u="none" strike="noStrike" kern="1200" baseline="0">
                  <a:solidFill>
                    <a:schemeClr val="tx2"/>
                  </a:solidFill>
                  <a:latin typeface="+mn-lt"/>
                  <a:ea typeface="+mn-ea"/>
                  <a:cs typeface="+mn-cs"/>
                </a:defRPr>
              </a:pPr>
              <a:endParaRPr lang="de-DE"/>
            </a:p>
          </c:txPr>
        </c:title>
        <c:numFmt formatCode="General" sourceLinked="1"/>
        <c:majorTickMark val="none"/>
        <c:minorTickMark val="none"/>
        <c:tickLblPos val="nextTo"/>
        <c:spPr>
          <a:noFill/>
          <a:ln w="9525" cap="flat" cmpd="sng" algn="ctr">
            <a:solidFill>
              <a:schemeClr val="tx2">
                <a:lumMod val="15000"/>
                <a:lumOff val="85000"/>
              </a:schemeClr>
            </a:solidFill>
            <a:round/>
          </a:ln>
          <a:effectLst/>
        </c:spPr>
        <c:txPr>
          <a:bodyPr rot="0" spcFirstLastPara="1" vertOverflow="ellipsis" wrap="square" anchor="ctr" anchorCtr="1"/>
          <a:lstStyle/>
          <a:p>
            <a:pPr>
              <a:defRPr sz="900" b="0" i="0" u="none" strike="noStrike" kern="1200" baseline="0">
                <a:solidFill>
                  <a:schemeClr val="tx2"/>
                </a:solidFill>
                <a:latin typeface="Gotham Book" pitchFamily="2" charset="0"/>
                <a:ea typeface="+mn-ea"/>
                <a:cs typeface="+mn-cs"/>
              </a:defRPr>
            </a:pPr>
            <a:endParaRPr lang="de-DE"/>
          </a:p>
        </c:txPr>
        <c:crossAx val="1"/>
        <c:crossesAt val="0"/>
        <c:auto val="1"/>
        <c:lblAlgn val="ctr"/>
        <c:lblOffset val="100"/>
        <c:noMultiLvlLbl val="0"/>
      </c:catAx>
      <c:valAx>
        <c:axId val="1"/>
        <c:scaling>
          <c:orientation val="minMax"/>
        </c:scaling>
        <c:delete val="0"/>
        <c:axPos val="l"/>
        <c:majorGridlines>
          <c:spPr>
            <a:ln w="9525" cap="flat" cmpd="sng" algn="ctr">
              <a:solidFill>
                <a:schemeClr val="tx2">
                  <a:lumMod val="15000"/>
                  <a:lumOff val="85000"/>
                </a:schemeClr>
              </a:solidFill>
              <a:round/>
            </a:ln>
            <a:effectLst/>
          </c:spPr>
        </c:majorGridlines>
        <c:numFmt formatCode="#,##0.00\ &quot;€&quot;" sourceLinked="0"/>
        <c:majorTickMark val="none"/>
        <c:minorTickMark val="none"/>
        <c:tickLblPos val="nextTo"/>
        <c:spPr>
          <a:noFill/>
          <a:ln>
            <a:noFill/>
          </a:ln>
          <a:effectLst/>
        </c:spPr>
        <c:txPr>
          <a:bodyPr rot="0" spcFirstLastPara="1" vertOverflow="ellipsis" wrap="square" anchor="ctr" anchorCtr="1"/>
          <a:lstStyle/>
          <a:p>
            <a:pPr>
              <a:defRPr sz="900" b="0" i="0" u="none" strike="noStrike" kern="1200" baseline="0">
                <a:solidFill>
                  <a:schemeClr val="tx2"/>
                </a:solidFill>
                <a:latin typeface="Gotham Book" pitchFamily="2" charset="0"/>
                <a:ea typeface="+mn-ea"/>
                <a:cs typeface="+mn-cs"/>
              </a:defRPr>
            </a:pPr>
            <a:endParaRPr lang="de-DE"/>
          </a:p>
        </c:txPr>
        <c:crossAx val="1769920863"/>
        <c:crossesAt val="1"/>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2"/>
              </a:solidFill>
              <a:latin typeface="Gotham Book" pitchFamily="2" charset="0"/>
              <a:ea typeface="+mn-ea"/>
              <a:cs typeface="+mn-cs"/>
            </a:defRPr>
          </a:pPr>
          <a:endParaRPr lang="de-DE"/>
        </a:p>
      </c:txPr>
    </c:legend>
    <c:plotVisOnly val="1"/>
    <c:dispBlanksAs val="gap"/>
    <c:showDLblsOverMax val="0"/>
  </c:chart>
  <c:spPr>
    <a:solidFill>
      <a:schemeClr val="bg1"/>
    </a:solidFill>
    <a:ln w="9525" cap="flat" cmpd="sng" algn="ctr">
      <a:solidFill>
        <a:schemeClr val="tx2">
          <a:lumMod val="15000"/>
          <a:lumOff val="85000"/>
        </a:schemeClr>
      </a:solidFill>
      <a:round/>
    </a:ln>
    <a:effectLst/>
  </c:spPr>
  <c:txPr>
    <a:bodyPr/>
    <a:lstStyle/>
    <a:p>
      <a:pPr>
        <a:defRPr/>
      </a:pPr>
      <a:endParaRPr lang="de-DE"/>
    </a:p>
  </c:txPr>
  <c:printSettings>
    <c:headerFooter alignWithMargins="0"/>
    <c:pageMargins b="0.984251969" l="0.78740157499999996" r="0.78740157499999996" t="0.984251969" header="0.51180555555555551" footer="0.51180555555555551"/>
    <c:pageSetup firstPageNumber="0"/>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de-DE"/>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600" b="1" i="0" u="none" strike="noStrike" kern="1200" baseline="0">
                <a:solidFill>
                  <a:schemeClr val="tx2"/>
                </a:solidFill>
                <a:latin typeface="Gotham Book" pitchFamily="2" charset="0"/>
                <a:ea typeface="+mn-ea"/>
                <a:cs typeface="+mn-cs"/>
              </a:defRPr>
            </a:pPr>
            <a:r>
              <a:rPr lang="de-DE">
                <a:latin typeface="Gotham Book" pitchFamily="2" charset="0"/>
              </a:rPr>
              <a:t>Umsatzprognose kumuliert</a:t>
            </a:r>
          </a:p>
        </c:rich>
      </c:tx>
      <c:overlay val="0"/>
      <c:spPr>
        <a:noFill/>
        <a:ln>
          <a:noFill/>
        </a:ln>
        <a:effectLst/>
      </c:spPr>
      <c:txPr>
        <a:bodyPr rot="0" spcFirstLastPara="1" vertOverflow="ellipsis" vert="horz" wrap="square" anchor="ctr" anchorCtr="1"/>
        <a:lstStyle/>
        <a:p>
          <a:pPr>
            <a:defRPr sz="1600" b="1" i="0" u="none" strike="noStrike" kern="1200" baseline="0">
              <a:solidFill>
                <a:schemeClr val="tx2"/>
              </a:solidFill>
              <a:latin typeface="Gotham Book" pitchFamily="2" charset="0"/>
              <a:ea typeface="+mn-ea"/>
              <a:cs typeface="+mn-cs"/>
            </a:defRPr>
          </a:pPr>
          <a:endParaRPr lang="de-DE"/>
        </a:p>
      </c:txPr>
    </c:title>
    <c:autoTitleDeleted val="0"/>
    <c:plotArea>
      <c:layout/>
      <c:lineChart>
        <c:grouping val="standard"/>
        <c:varyColors val="0"/>
        <c:ser>
          <c:idx val="0"/>
          <c:order val="0"/>
          <c:tx>
            <c:v>kumuliert</c:v>
          </c:tx>
          <c:spPr>
            <a:ln w="31750" cap="rnd">
              <a:solidFill>
                <a:schemeClr val="accent1"/>
              </a:solidFill>
              <a:round/>
            </a:ln>
            <a:effectLst>
              <a:outerShdw blurRad="40000" dist="23000" dir="5400000" rotWithShape="0">
                <a:srgbClr val="000000">
                  <a:alpha val="35000"/>
                </a:srgbClr>
              </a:outerShdw>
            </a:effectLst>
          </c:spPr>
          <c:marker>
            <c:symbol val="none"/>
          </c:marker>
          <c:dLbls>
            <c:dLbl>
              <c:idx val="11"/>
              <c:layout>
                <c:manualLayout>
                  <c:x val="0"/>
                  <c:y val="3.3519553072625698E-2"/>
                </c:manualLayout>
              </c:layout>
              <c:dLblPos val="r"/>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0-D26A-D743-8DF8-22698FD1988F}"/>
                </c:ext>
              </c:extLst>
            </c:dLbl>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2"/>
                    </a:solidFill>
                    <a:latin typeface="+mn-lt"/>
                    <a:ea typeface="+mn-ea"/>
                    <a:cs typeface="+mn-cs"/>
                  </a:defRPr>
                </a:pPr>
                <a:endParaRPr lang="de-DE"/>
              </a:p>
            </c:txPr>
            <c:showLegendKey val="0"/>
            <c:showVal val="0"/>
            <c:showCatName val="0"/>
            <c:showSerName val="0"/>
            <c:showPercent val="0"/>
            <c:showBubbleSize val="0"/>
            <c:extLst>
              <c:ext xmlns:c15="http://schemas.microsoft.com/office/drawing/2012/chart" uri="{CE6537A1-D6FC-4f65-9D91-7224C49458BB}">
                <c15:showLeaderLines val="1"/>
                <c15:leaderLines>
                  <c:spPr>
                    <a:ln w="9525">
                      <a:solidFill>
                        <a:schemeClr val="tx2">
                          <a:lumMod val="35000"/>
                          <a:lumOff val="65000"/>
                        </a:schemeClr>
                      </a:solidFill>
                    </a:ln>
                    <a:effectLst/>
                  </c:spPr>
                </c15:leaderLines>
              </c:ext>
            </c:extLst>
          </c:dLbls>
          <c:cat>
            <c:strRef>
              <c:f>'Umsatz kumuliert'!$B$1:$M$1</c:f>
              <c:strCache>
                <c:ptCount val="12"/>
                <c:pt idx="0">
                  <c:v>Month 1</c:v>
                </c:pt>
                <c:pt idx="1">
                  <c:v>Month 2</c:v>
                </c:pt>
                <c:pt idx="2">
                  <c:v>Month 3</c:v>
                </c:pt>
                <c:pt idx="3">
                  <c:v>Month 4</c:v>
                </c:pt>
                <c:pt idx="4">
                  <c:v>Month 5</c:v>
                </c:pt>
                <c:pt idx="5">
                  <c:v>Month 6</c:v>
                </c:pt>
                <c:pt idx="6">
                  <c:v>Month 7</c:v>
                </c:pt>
                <c:pt idx="7">
                  <c:v>Month 8</c:v>
                </c:pt>
                <c:pt idx="8">
                  <c:v>Month 9</c:v>
                </c:pt>
                <c:pt idx="9">
                  <c:v>Month 10</c:v>
                </c:pt>
                <c:pt idx="10">
                  <c:v>Month 11</c:v>
                </c:pt>
                <c:pt idx="11">
                  <c:v>Month 12</c:v>
                </c:pt>
              </c:strCache>
            </c:strRef>
          </c:cat>
          <c:val>
            <c:numRef>
              <c:f>'Umsatz kumuliert'!$B$5:$M$5</c:f>
              <c:numCache>
                <c:formatCode>#,##0.00" €"</c:formatCode>
                <c:ptCount val="12"/>
                <c:pt idx="0">
                  <c:v>0</c:v>
                </c:pt>
                <c:pt idx="1">
                  <c:v>0</c:v>
                </c:pt>
                <c:pt idx="2">
                  <c:v>0</c:v>
                </c:pt>
                <c:pt idx="3">
                  <c:v>0</c:v>
                </c:pt>
                <c:pt idx="4">
                  <c:v>0</c:v>
                </c:pt>
                <c:pt idx="5">
                  <c:v>0</c:v>
                </c:pt>
                <c:pt idx="6">
                  <c:v>0</c:v>
                </c:pt>
                <c:pt idx="7">
                  <c:v>0</c:v>
                </c:pt>
                <c:pt idx="8">
                  <c:v>0</c:v>
                </c:pt>
                <c:pt idx="9">
                  <c:v>0</c:v>
                </c:pt>
                <c:pt idx="10">
                  <c:v>0</c:v>
                </c:pt>
                <c:pt idx="11">
                  <c:v>0</c:v>
                </c:pt>
              </c:numCache>
            </c:numRef>
          </c:val>
          <c:smooth val="0"/>
          <c:extLst>
            <c:ext xmlns:c16="http://schemas.microsoft.com/office/drawing/2014/chart" uri="{C3380CC4-5D6E-409C-BE32-E72D297353CC}">
              <c16:uniqueId val="{00000001-D26A-D743-8DF8-22698FD1988F}"/>
            </c:ext>
          </c:extLst>
        </c:ser>
        <c:ser>
          <c:idx val="1"/>
          <c:order val="1"/>
          <c:tx>
            <c:v>Plan kumuliert</c:v>
          </c:tx>
          <c:spPr>
            <a:ln w="31750" cap="rnd">
              <a:solidFill>
                <a:schemeClr val="accent2"/>
              </a:solidFill>
              <a:round/>
            </a:ln>
            <a:effectLst>
              <a:outerShdw blurRad="40000" dist="23000" dir="5400000" rotWithShape="0">
                <a:srgbClr val="000000">
                  <a:alpha val="35000"/>
                </a:srgbClr>
              </a:outerShdw>
            </a:effectLst>
          </c:spPr>
          <c:marker>
            <c:symbol val="none"/>
          </c:marker>
          <c:dLbls>
            <c:dLbl>
              <c:idx val="11"/>
              <c:layout>
                <c:manualLayout>
                  <c:x val="-7.3126142595979406E-3"/>
                  <c:y val="-2.7932960893854764E-2"/>
                </c:manualLayout>
              </c:layout>
              <c:dLblPos val="r"/>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2-D26A-D743-8DF8-22698FD1988F}"/>
                </c:ext>
              </c:extLst>
            </c:dLbl>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2"/>
                    </a:solidFill>
                    <a:latin typeface="+mn-lt"/>
                    <a:ea typeface="+mn-ea"/>
                    <a:cs typeface="+mn-cs"/>
                  </a:defRPr>
                </a:pPr>
                <a:endParaRPr lang="de-DE"/>
              </a:p>
            </c:txPr>
            <c:showLegendKey val="0"/>
            <c:showVal val="0"/>
            <c:showCatName val="0"/>
            <c:showSerName val="0"/>
            <c:showPercent val="0"/>
            <c:showBubbleSize val="0"/>
            <c:extLst>
              <c:ext xmlns:c15="http://schemas.microsoft.com/office/drawing/2012/chart" uri="{CE6537A1-D6FC-4f65-9D91-7224C49458BB}">
                <c15:showLeaderLines val="1"/>
                <c15:leaderLines>
                  <c:spPr>
                    <a:ln w="9525">
                      <a:solidFill>
                        <a:schemeClr val="tx2">
                          <a:lumMod val="35000"/>
                          <a:lumOff val="65000"/>
                        </a:schemeClr>
                      </a:solidFill>
                    </a:ln>
                    <a:effectLst/>
                  </c:spPr>
                </c15:leaderLines>
              </c:ext>
            </c:extLst>
          </c:dLbls>
          <c:cat>
            <c:strRef>
              <c:f>'Umsatz kumuliert'!$B$1:$M$1</c:f>
              <c:strCache>
                <c:ptCount val="12"/>
                <c:pt idx="0">
                  <c:v>Month 1</c:v>
                </c:pt>
                <c:pt idx="1">
                  <c:v>Month 2</c:v>
                </c:pt>
                <c:pt idx="2">
                  <c:v>Month 3</c:v>
                </c:pt>
                <c:pt idx="3">
                  <c:v>Month 4</c:v>
                </c:pt>
                <c:pt idx="4">
                  <c:v>Month 5</c:v>
                </c:pt>
                <c:pt idx="5">
                  <c:v>Month 6</c:v>
                </c:pt>
                <c:pt idx="6">
                  <c:v>Month 7</c:v>
                </c:pt>
                <c:pt idx="7">
                  <c:v>Month 8</c:v>
                </c:pt>
                <c:pt idx="8">
                  <c:v>Month 9</c:v>
                </c:pt>
                <c:pt idx="9">
                  <c:v>Month 10</c:v>
                </c:pt>
                <c:pt idx="10">
                  <c:v>Month 11</c:v>
                </c:pt>
                <c:pt idx="11">
                  <c:v>Month 12</c:v>
                </c:pt>
              </c:strCache>
            </c:strRef>
          </c:cat>
          <c:val>
            <c:numRef>
              <c:f>'Umsatz kumuliert'!$B$6:$M$6</c:f>
              <c:numCache>
                <c:formatCode>#,##0.00" €"</c:formatCode>
                <c:ptCount val="12"/>
                <c:pt idx="0">
                  <c:v>0</c:v>
                </c:pt>
                <c:pt idx="1">
                  <c:v>0</c:v>
                </c:pt>
                <c:pt idx="2">
                  <c:v>0</c:v>
                </c:pt>
                <c:pt idx="3">
                  <c:v>0</c:v>
                </c:pt>
                <c:pt idx="4">
                  <c:v>0</c:v>
                </c:pt>
                <c:pt idx="5">
                  <c:v>0</c:v>
                </c:pt>
                <c:pt idx="6">
                  <c:v>0</c:v>
                </c:pt>
                <c:pt idx="7">
                  <c:v>0</c:v>
                </c:pt>
                <c:pt idx="8">
                  <c:v>0</c:v>
                </c:pt>
                <c:pt idx="9">
                  <c:v>0</c:v>
                </c:pt>
                <c:pt idx="10">
                  <c:v>0</c:v>
                </c:pt>
                <c:pt idx="11">
                  <c:v>0</c:v>
                </c:pt>
              </c:numCache>
            </c:numRef>
          </c:val>
          <c:smooth val="0"/>
          <c:extLst>
            <c:ext xmlns:c16="http://schemas.microsoft.com/office/drawing/2014/chart" uri="{C3380CC4-5D6E-409C-BE32-E72D297353CC}">
              <c16:uniqueId val="{00000003-D26A-D743-8DF8-22698FD1988F}"/>
            </c:ext>
          </c:extLst>
        </c:ser>
        <c:ser>
          <c:idx val="2"/>
          <c:order val="2"/>
          <c:tx>
            <c:v>kumuliert Vorjahr</c:v>
          </c:tx>
          <c:spPr>
            <a:ln w="31750" cap="rnd">
              <a:solidFill>
                <a:schemeClr val="accent3"/>
              </a:solidFill>
              <a:round/>
            </a:ln>
            <a:effectLst>
              <a:outerShdw blurRad="40000" dist="23000" dir="5400000" rotWithShape="0">
                <a:srgbClr val="000000">
                  <a:alpha val="35000"/>
                </a:srgbClr>
              </a:outerShdw>
            </a:effectLst>
          </c:spPr>
          <c:marker>
            <c:symbol val="none"/>
          </c:marker>
          <c:dLbls>
            <c:dLbl>
              <c:idx val="11"/>
              <c:layout>
                <c:manualLayout>
                  <c:x val="0"/>
                  <c:y val="2.7932960893854747E-2"/>
                </c:manualLayout>
              </c:layout>
              <c:dLblPos val="r"/>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4-D26A-D743-8DF8-22698FD1988F}"/>
                </c:ext>
              </c:extLst>
            </c:dLbl>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2"/>
                    </a:solidFill>
                    <a:latin typeface="+mn-lt"/>
                    <a:ea typeface="+mn-ea"/>
                    <a:cs typeface="+mn-cs"/>
                  </a:defRPr>
                </a:pPr>
                <a:endParaRPr lang="de-DE"/>
              </a:p>
            </c:txPr>
            <c:showLegendKey val="0"/>
            <c:showVal val="0"/>
            <c:showCatName val="0"/>
            <c:showSerName val="0"/>
            <c:showPercent val="0"/>
            <c:showBubbleSize val="0"/>
            <c:extLst>
              <c:ext xmlns:c15="http://schemas.microsoft.com/office/drawing/2012/chart" uri="{CE6537A1-D6FC-4f65-9D91-7224C49458BB}">
                <c15:showLeaderLines val="1"/>
                <c15:leaderLines>
                  <c:spPr>
                    <a:ln w="9525">
                      <a:solidFill>
                        <a:schemeClr val="tx2">
                          <a:lumMod val="35000"/>
                          <a:lumOff val="65000"/>
                        </a:schemeClr>
                      </a:solidFill>
                    </a:ln>
                    <a:effectLst/>
                  </c:spPr>
                </c15:leaderLines>
              </c:ext>
            </c:extLst>
          </c:dLbls>
          <c:cat>
            <c:strRef>
              <c:f>'Umsatz kumuliert'!$B$1:$M$1</c:f>
              <c:strCache>
                <c:ptCount val="12"/>
                <c:pt idx="0">
                  <c:v>Month 1</c:v>
                </c:pt>
                <c:pt idx="1">
                  <c:v>Month 2</c:v>
                </c:pt>
                <c:pt idx="2">
                  <c:v>Month 3</c:v>
                </c:pt>
                <c:pt idx="3">
                  <c:v>Month 4</c:v>
                </c:pt>
                <c:pt idx="4">
                  <c:v>Month 5</c:v>
                </c:pt>
                <c:pt idx="5">
                  <c:v>Month 6</c:v>
                </c:pt>
                <c:pt idx="6">
                  <c:v>Month 7</c:v>
                </c:pt>
                <c:pt idx="7">
                  <c:v>Month 8</c:v>
                </c:pt>
                <c:pt idx="8">
                  <c:v>Month 9</c:v>
                </c:pt>
                <c:pt idx="9">
                  <c:v>Month 10</c:v>
                </c:pt>
                <c:pt idx="10">
                  <c:v>Month 11</c:v>
                </c:pt>
                <c:pt idx="11">
                  <c:v>Month 12</c:v>
                </c:pt>
              </c:strCache>
            </c:strRef>
          </c:cat>
          <c:val>
            <c:numRef>
              <c:f>'Umsatz kumuliert'!$B$9:$M$9</c:f>
              <c:numCache>
                <c:formatCode>#,##0.00\ "€"</c:formatCode>
                <c:ptCount val="12"/>
                <c:pt idx="0" formatCode="#,##0.00&quot; €&quot;">
                  <c:v>0</c:v>
                </c:pt>
                <c:pt idx="1">
                  <c:v>0</c:v>
                </c:pt>
                <c:pt idx="2">
                  <c:v>0</c:v>
                </c:pt>
                <c:pt idx="3">
                  <c:v>0</c:v>
                </c:pt>
                <c:pt idx="4">
                  <c:v>0</c:v>
                </c:pt>
                <c:pt idx="5">
                  <c:v>0</c:v>
                </c:pt>
                <c:pt idx="6">
                  <c:v>0</c:v>
                </c:pt>
                <c:pt idx="7">
                  <c:v>0</c:v>
                </c:pt>
                <c:pt idx="8">
                  <c:v>0</c:v>
                </c:pt>
                <c:pt idx="9">
                  <c:v>0</c:v>
                </c:pt>
                <c:pt idx="10">
                  <c:v>0</c:v>
                </c:pt>
                <c:pt idx="11">
                  <c:v>0</c:v>
                </c:pt>
              </c:numCache>
            </c:numRef>
          </c:val>
          <c:smooth val="0"/>
          <c:extLst>
            <c:ext xmlns:c16="http://schemas.microsoft.com/office/drawing/2014/chart" uri="{C3380CC4-5D6E-409C-BE32-E72D297353CC}">
              <c16:uniqueId val="{00000005-D26A-D743-8DF8-22698FD1988F}"/>
            </c:ext>
          </c:extLst>
        </c:ser>
        <c:ser>
          <c:idx val="3"/>
          <c:order val="3"/>
          <c:tx>
            <c:v>kumuliert Vorvorjahr</c:v>
          </c:tx>
          <c:spPr>
            <a:ln w="31750" cap="rnd">
              <a:solidFill>
                <a:schemeClr val="bg1">
                  <a:lumMod val="75000"/>
                </a:schemeClr>
              </a:solidFill>
              <a:prstDash val="sysDot"/>
              <a:round/>
            </a:ln>
            <a:effectLst>
              <a:outerShdw blurRad="40000" dist="23000" dir="5400000" rotWithShape="0">
                <a:srgbClr val="000000">
                  <a:alpha val="35000"/>
                </a:srgbClr>
              </a:outerShdw>
            </a:effectLst>
          </c:spPr>
          <c:marker>
            <c:symbol val="none"/>
          </c:marker>
          <c:dLbls>
            <c:dLbl>
              <c:idx val="11"/>
              <c:layout>
                <c:manualLayout>
                  <c:x val="0"/>
                  <c:y val="2.7932960893854747E-2"/>
                </c:manualLayout>
              </c:layout>
              <c:dLblPos val="r"/>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14-D26A-D743-8DF8-22698FD1988F}"/>
                </c:ext>
              </c:extLst>
            </c:dLbl>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2"/>
                    </a:solidFill>
                    <a:latin typeface="+mn-lt"/>
                    <a:ea typeface="+mn-ea"/>
                    <a:cs typeface="+mn-cs"/>
                  </a:defRPr>
                </a:pPr>
                <a:endParaRPr lang="de-DE"/>
              </a:p>
            </c:txPr>
            <c:showLegendKey val="0"/>
            <c:showVal val="0"/>
            <c:showCatName val="0"/>
            <c:showSerName val="0"/>
            <c:showPercent val="0"/>
            <c:showBubbleSize val="0"/>
            <c:extLst>
              <c:ext xmlns:c15="http://schemas.microsoft.com/office/drawing/2012/chart" uri="{CE6537A1-D6FC-4f65-9D91-7224C49458BB}">
                <c15:showLeaderLines val="1"/>
                <c15:leaderLines>
                  <c:spPr>
                    <a:ln w="9525">
                      <a:solidFill>
                        <a:schemeClr val="tx2">
                          <a:lumMod val="35000"/>
                          <a:lumOff val="65000"/>
                        </a:schemeClr>
                      </a:solidFill>
                    </a:ln>
                    <a:effectLst/>
                  </c:spPr>
                </c15:leaderLines>
              </c:ext>
            </c:extLst>
          </c:dLbls>
          <c:val>
            <c:numRef>
              <c:f>'Umsatz kumuliert'!$B$12:$M$12</c:f>
              <c:numCache>
                <c:formatCode>#,##0.00\ "€"</c:formatCode>
                <c:ptCount val="12"/>
                <c:pt idx="0" formatCode="#,##0.00&quot; €&quot;">
                  <c:v>0</c:v>
                </c:pt>
                <c:pt idx="1">
                  <c:v>0</c:v>
                </c:pt>
                <c:pt idx="2">
                  <c:v>0</c:v>
                </c:pt>
                <c:pt idx="3">
                  <c:v>0</c:v>
                </c:pt>
                <c:pt idx="4">
                  <c:v>0</c:v>
                </c:pt>
                <c:pt idx="5">
                  <c:v>0</c:v>
                </c:pt>
                <c:pt idx="6">
                  <c:v>0</c:v>
                </c:pt>
                <c:pt idx="7">
                  <c:v>0</c:v>
                </c:pt>
                <c:pt idx="8">
                  <c:v>0</c:v>
                </c:pt>
                <c:pt idx="9">
                  <c:v>0</c:v>
                </c:pt>
                <c:pt idx="10">
                  <c:v>0</c:v>
                </c:pt>
                <c:pt idx="11">
                  <c:v>0</c:v>
                </c:pt>
              </c:numCache>
            </c:numRef>
          </c:val>
          <c:smooth val="0"/>
          <c:extLst>
            <c:ext xmlns:c16="http://schemas.microsoft.com/office/drawing/2014/chart" uri="{C3380CC4-5D6E-409C-BE32-E72D297353CC}">
              <c16:uniqueId val="{00000000-0EE0-9841-8AFA-9FF394B41666}"/>
            </c:ext>
          </c:extLst>
        </c:ser>
        <c:dLbls>
          <c:showLegendKey val="0"/>
          <c:showVal val="0"/>
          <c:showCatName val="0"/>
          <c:showSerName val="0"/>
          <c:showPercent val="0"/>
          <c:showBubbleSize val="0"/>
        </c:dLbls>
        <c:smooth val="0"/>
        <c:axId val="1730480751"/>
        <c:axId val="1"/>
      </c:lineChart>
      <c:catAx>
        <c:axId val="1730480751"/>
        <c:scaling>
          <c:orientation val="minMax"/>
        </c:scaling>
        <c:delete val="0"/>
        <c:axPos val="b"/>
        <c:numFmt formatCode="General" sourceLinked="1"/>
        <c:majorTickMark val="out"/>
        <c:minorTickMark val="none"/>
        <c:tickLblPos val="nextTo"/>
        <c:spPr>
          <a:noFill/>
          <a:ln w="9525" cap="flat" cmpd="sng" algn="ctr">
            <a:solidFill>
              <a:schemeClr val="tx2">
                <a:lumMod val="15000"/>
                <a:lumOff val="85000"/>
              </a:schemeClr>
            </a:solidFill>
            <a:round/>
          </a:ln>
          <a:effectLst/>
        </c:spPr>
        <c:txPr>
          <a:bodyPr rot="0" spcFirstLastPara="1" vertOverflow="ellipsis" wrap="square" anchor="ctr" anchorCtr="1"/>
          <a:lstStyle/>
          <a:p>
            <a:pPr>
              <a:defRPr sz="900" b="0" i="0" u="none" strike="noStrike" kern="1200" baseline="0">
                <a:solidFill>
                  <a:schemeClr val="tx2"/>
                </a:solidFill>
                <a:latin typeface="Gotham Book" pitchFamily="2" charset="0"/>
                <a:ea typeface="+mn-ea"/>
                <a:cs typeface="+mn-cs"/>
              </a:defRPr>
            </a:pPr>
            <a:endParaRPr lang="de-DE"/>
          </a:p>
        </c:txPr>
        <c:crossAx val="1"/>
        <c:crosses val="autoZero"/>
        <c:auto val="1"/>
        <c:lblAlgn val="ctr"/>
        <c:lblOffset val="100"/>
        <c:noMultiLvlLbl val="0"/>
      </c:catAx>
      <c:valAx>
        <c:axId val="1"/>
        <c:scaling>
          <c:orientation val="minMax"/>
        </c:scaling>
        <c:delete val="0"/>
        <c:axPos val="l"/>
        <c:majorGridlines>
          <c:spPr>
            <a:ln w="9525" cap="flat" cmpd="sng" algn="ctr">
              <a:solidFill>
                <a:schemeClr val="tx2">
                  <a:lumMod val="15000"/>
                  <a:lumOff val="85000"/>
                </a:schemeClr>
              </a:solidFill>
              <a:round/>
            </a:ln>
            <a:effectLst/>
          </c:spPr>
        </c:majorGridlines>
        <c:numFmt formatCode="#,##0.00&quot; €&quot;" sourceLinked="1"/>
        <c:majorTickMark val="none"/>
        <c:minorTickMark val="none"/>
        <c:tickLblPos val="nextTo"/>
        <c:spPr>
          <a:noFill/>
          <a:ln>
            <a:noFill/>
          </a:ln>
          <a:effectLst/>
        </c:spPr>
        <c:txPr>
          <a:bodyPr rot="0" spcFirstLastPara="1" vertOverflow="ellipsis" wrap="square" anchor="ctr" anchorCtr="1"/>
          <a:lstStyle/>
          <a:p>
            <a:pPr>
              <a:defRPr sz="900" b="0" i="0" u="none" strike="noStrike" kern="1200" baseline="0">
                <a:solidFill>
                  <a:schemeClr val="tx2"/>
                </a:solidFill>
                <a:latin typeface="Gotham Book" pitchFamily="2" charset="0"/>
                <a:ea typeface="+mn-ea"/>
                <a:cs typeface="+mn-cs"/>
              </a:defRPr>
            </a:pPr>
            <a:endParaRPr lang="de-DE"/>
          </a:p>
        </c:txPr>
        <c:crossAx val="1730480751"/>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2"/>
              </a:solidFill>
              <a:latin typeface="Gotham Book" pitchFamily="2" charset="0"/>
              <a:ea typeface="+mn-ea"/>
              <a:cs typeface="+mn-cs"/>
            </a:defRPr>
          </a:pPr>
          <a:endParaRPr lang="de-DE"/>
        </a:p>
      </c:txPr>
    </c:legend>
    <c:plotVisOnly val="1"/>
    <c:dispBlanksAs val="gap"/>
    <c:showDLblsOverMax val="0"/>
  </c:chart>
  <c:spPr>
    <a:solidFill>
      <a:schemeClr val="bg1"/>
    </a:solidFill>
    <a:ln w="9525" cap="flat" cmpd="sng" algn="ctr">
      <a:solidFill>
        <a:schemeClr val="tx2">
          <a:lumMod val="15000"/>
          <a:lumOff val="85000"/>
        </a:schemeClr>
      </a:solidFill>
      <a:round/>
    </a:ln>
    <a:effectLst/>
  </c:spPr>
  <c:txPr>
    <a:bodyPr/>
    <a:lstStyle/>
    <a:p>
      <a:pPr>
        <a:defRPr/>
      </a:pPr>
      <a:endParaRPr lang="de-DE"/>
    </a:p>
  </c:txPr>
  <c:printSettings>
    <c:headerFooter alignWithMargins="0"/>
    <c:pageMargins b="0.984251969" l="0.78740157499999996" r="0.78740157499999996" t="0.984251969" header="0.5" footer="0.5"/>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de-DE"/>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1800" b="1" i="0" u="none" strike="noStrike" baseline="0">
                <a:solidFill>
                  <a:srgbClr val="000000"/>
                </a:solidFill>
                <a:latin typeface="Calibri"/>
                <a:ea typeface="Calibri"/>
                <a:cs typeface="Calibri"/>
              </a:defRPr>
            </a:pPr>
            <a:r>
              <a:rPr lang="de-DE"/>
              <a:t>Umsatzprognose Monatswerte</a:t>
            </a:r>
          </a:p>
        </c:rich>
      </c:tx>
      <c:layout>
        <c:manualLayout>
          <c:xMode val="edge"/>
          <c:yMode val="edge"/>
          <c:x val="0.37592599883347916"/>
          <c:y val="5.791499992982161E-2"/>
        </c:manualLayout>
      </c:layout>
      <c:overlay val="0"/>
      <c:spPr>
        <a:noFill/>
        <a:ln w="25400">
          <a:noFill/>
        </a:ln>
      </c:spPr>
    </c:title>
    <c:autoTitleDeleted val="0"/>
    <c:plotArea>
      <c:layout>
        <c:manualLayout>
          <c:layoutTarget val="inner"/>
          <c:xMode val="edge"/>
          <c:yMode val="edge"/>
          <c:x val="6.111112492565577E-2"/>
          <c:y val="0.15250976032961835"/>
          <c:w val="0.83425944784872497"/>
          <c:h val="0.70270319949343141"/>
        </c:manualLayout>
      </c:layout>
      <c:lineChart>
        <c:grouping val="standard"/>
        <c:varyColors val="0"/>
        <c:ser>
          <c:idx val="0"/>
          <c:order val="0"/>
          <c:tx>
            <c:strRef>
              <c:f>'Umsatz kumuliert'!$A$4</c:f>
              <c:strCache>
                <c:ptCount val="1"/>
                <c:pt idx="0">
                  <c:v>Gesamt</c:v>
                </c:pt>
              </c:strCache>
            </c:strRef>
          </c:tx>
          <c:spPr>
            <a:ln w="25400">
              <a:solidFill>
                <a:srgbClr val="666699"/>
              </a:solidFill>
              <a:prstDash val="solid"/>
            </a:ln>
          </c:spPr>
          <c:marker>
            <c:spPr>
              <a:solidFill>
                <a:srgbClr val="4F81BD"/>
              </a:solidFill>
              <a:ln>
                <a:solidFill>
                  <a:srgbClr val="666699"/>
                </a:solidFill>
                <a:prstDash val="solid"/>
              </a:ln>
            </c:spPr>
          </c:marker>
          <c:val>
            <c:numRef>
              <c:f>'Umsatz kumuliert'!$B$4:$M$4</c:f>
              <c:numCache>
                <c:formatCode>#,##0.00" €"</c:formatCode>
                <c:ptCount val="12"/>
                <c:pt idx="0">
                  <c:v>0</c:v>
                </c:pt>
                <c:pt idx="1">
                  <c:v>0</c:v>
                </c:pt>
                <c:pt idx="2">
                  <c:v>0</c:v>
                </c:pt>
                <c:pt idx="3">
                  <c:v>0</c:v>
                </c:pt>
                <c:pt idx="4">
                  <c:v>0</c:v>
                </c:pt>
                <c:pt idx="5">
                  <c:v>0</c:v>
                </c:pt>
                <c:pt idx="6">
                  <c:v>0</c:v>
                </c:pt>
                <c:pt idx="7">
                  <c:v>0</c:v>
                </c:pt>
                <c:pt idx="8">
                  <c:v>0</c:v>
                </c:pt>
                <c:pt idx="9">
                  <c:v>0</c:v>
                </c:pt>
                <c:pt idx="10">
                  <c:v>0</c:v>
                </c:pt>
                <c:pt idx="11">
                  <c:v>0</c:v>
                </c:pt>
              </c:numCache>
            </c:numRef>
          </c:val>
          <c:smooth val="0"/>
          <c:extLst>
            <c:ext xmlns:c16="http://schemas.microsoft.com/office/drawing/2014/chart" uri="{C3380CC4-5D6E-409C-BE32-E72D297353CC}">
              <c16:uniqueId val="{00000000-61F3-A849-8CD9-33D421FFBDB7}"/>
            </c:ext>
          </c:extLst>
        </c:ser>
        <c:ser>
          <c:idx val="1"/>
          <c:order val="1"/>
          <c:tx>
            <c:strRef>
              <c:f>Forecast_Data!$AC$9</c:f>
              <c:strCache>
                <c:ptCount val="1"/>
                <c:pt idx="0">
                  <c:v>PLAN</c:v>
                </c:pt>
              </c:strCache>
            </c:strRef>
          </c:tx>
          <c:spPr>
            <a:ln w="25400">
              <a:solidFill>
                <a:srgbClr val="993366"/>
              </a:solidFill>
              <a:prstDash val="solid"/>
            </a:ln>
          </c:spPr>
          <c:marker>
            <c:spPr>
              <a:solidFill>
                <a:srgbClr val="C0504D"/>
              </a:solidFill>
              <a:ln>
                <a:solidFill>
                  <a:srgbClr val="993366"/>
                </a:solidFill>
                <a:prstDash val="solid"/>
              </a:ln>
            </c:spPr>
          </c:marker>
          <c:val>
            <c:numRef>
              <c:f>Forecast_Data!$AD$9:$AO$9</c:f>
              <c:numCache>
                <c:formatCode>#,##0.00</c:formatCode>
                <c:ptCount val="12"/>
                <c:pt idx="0">
                  <c:v>0</c:v>
                </c:pt>
                <c:pt idx="1">
                  <c:v>0</c:v>
                </c:pt>
                <c:pt idx="2">
                  <c:v>0</c:v>
                </c:pt>
                <c:pt idx="3">
                  <c:v>0</c:v>
                </c:pt>
                <c:pt idx="4">
                  <c:v>0</c:v>
                </c:pt>
                <c:pt idx="5">
                  <c:v>0</c:v>
                </c:pt>
                <c:pt idx="6">
                  <c:v>0</c:v>
                </c:pt>
                <c:pt idx="7">
                  <c:v>0</c:v>
                </c:pt>
                <c:pt idx="8">
                  <c:v>0</c:v>
                </c:pt>
                <c:pt idx="9">
                  <c:v>0</c:v>
                </c:pt>
                <c:pt idx="10">
                  <c:v>0</c:v>
                </c:pt>
                <c:pt idx="11">
                  <c:v>0</c:v>
                </c:pt>
              </c:numCache>
            </c:numRef>
          </c:val>
          <c:smooth val="0"/>
          <c:extLst>
            <c:ext xmlns:c16="http://schemas.microsoft.com/office/drawing/2014/chart" uri="{C3380CC4-5D6E-409C-BE32-E72D297353CC}">
              <c16:uniqueId val="{00000001-61F3-A849-8CD9-33D421FFBDB7}"/>
            </c:ext>
          </c:extLst>
        </c:ser>
        <c:ser>
          <c:idx val="2"/>
          <c:order val="2"/>
          <c:tx>
            <c:v>Vorjahr</c:v>
          </c:tx>
          <c:val>
            <c:numRef>
              <c:f>'Umsatz kumuliert'!$B$8:$M$8</c:f>
              <c:numCache>
                <c:formatCode>#,##0.00" €"</c:formatCode>
                <c:ptCount val="12"/>
                <c:pt idx="0">
                  <c:v>0</c:v>
                </c:pt>
                <c:pt idx="1">
                  <c:v>0</c:v>
                </c:pt>
                <c:pt idx="2">
                  <c:v>0</c:v>
                </c:pt>
                <c:pt idx="3">
                  <c:v>0</c:v>
                </c:pt>
                <c:pt idx="4">
                  <c:v>0</c:v>
                </c:pt>
                <c:pt idx="5">
                  <c:v>0</c:v>
                </c:pt>
                <c:pt idx="6">
                  <c:v>0</c:v>
                </c:pt>
                <c:pt idx="7">
                  <c:v>0</c:v>
                </c:pt>
                <c:pt idx="8">
                  <c:v>0</c:v>
                </c:pt>
                <c:pt idx="9">
                  <c:v>0</c:v>
                </c:pt>
                <c:pt idx="10">
                  <c:v>0</c:v>
                </c:pt>
                <c:pt idx="11">
                  <c:v>0</c:v>
                </c:pt>
              </c:numCache>
            </c:numRef>
          </c:val>
          <c:smooth val="0"/>
          <c:extLst>
            <c:ext xmlns:c16="http://schemas.microsoft.com/office/drawing/2014/chart" uri="{C3380CC4-5D6E-409C-BE32-E72D297353CC}">
              <c16:uniqueId val="{00000001-8BB6-3D43-B21E-C23934B7241A}"/>
            </c:ext>
          </c:extLst>
        </c:ser>
        <c:ser>
          <c:idx val="3"/>
          <c:order val="3"/>
          <c:tx>
            <c:v>Vorvorjahr</c:v>
          </c:tx>
          <c:spPr>
            <a:ln>
              <a:solidFill>
                <a:schemeClr val="bg1">
                  <a:lumMod val="75000"/>
                </a:schemeClr>
              </a:solidFill>
              <a:prstDash val="sysDot"/>
            </a:ln>
          </c:spPr>
          <c:val>
            <c:numRef>
              <c:f>'Umsatz kumuliert'!$B$11:$M$11</c:f>
              <c:numCache>
                <c:formatCode>General</c:formatCode>
                <c:ptCount val="12"/>
                <c:pt idx="0">
                  <c:v>0</c:v>
                </c:pt>
                <c:pt idx="1">
                  <c:v>0</c:v>
                </c:pt>
                <c:pt idx="2">
                  <c:v>0</c:v>
                </c:pt>
                <c:pt idx="3">
                  <c:v>0</c:v>
                </c:pt>
                <c:pt idx="4">
                  <c:v>0</c:v>
                </c:pt>
                <c:pt idx="5">
                  <c:v>0</c:v>
                </c:pt>
                <c:pt idx="6">
                  <c:v>0</c:v>
                </c:pt>
                <c:pt idx="7">
                  <c:v>0</c:v>
                </c:pt>
                <c:pt idx="8">
                  <c:v>0</c:v>
                </c:pt>
                <c:pt idx="9">
                  <c:v>0</c:v>
                </c:pt>
                <c:pt idx="10">
                  <c:v>0</c:v>
                </c:pt>
                <c:pt idx="11">
                  <c:v>0</c:v>
                </c:pt>
              </c:numCache>
            </c:numRef>
          </c:val>
          <c:smooth val="0"/>
          <c:extLst>
            <c:ext xmlns:c16="http://schemas.microsoft.com/office/drawing/2014/chart" uri="{C3380CC4-5D6E-409C-BE32-E72D297353CC}">
              <c16:uniqueId val="{00000000-5698-DA4F-BE55-5CA3F0C0E5D7}"/>
            </c:ext>
          </c:extLst>
        </c:ser>
        <c:dLbls>
          <c:showLegendKey val="0"/>
          <c:showVal val="0"/>
          <c:showCatName val="0"/>
          <c:showSerName val="0"/>
          <c:showPercent val="0"/>
          <c:showBubbleSize val="0"/>
        </c:dLbls>
        <c:marker val="1"/>
        <c:smooth val="0"/>
        <c:axId val="1769920863"/>
        <c:axId val="1"/>
      </c:lineChart>
      <c:catAx>
        <c:axId val="1769920863"/>
        <c:scaling>
          <c:orientation val="minMax"/>
        </c:scaling>
        <c:delete val="0"/>
        <c:axPos val="b"/>
        <c:title>
          <c:tx>
            <c:rich>
              <a:bodyPr/>
              <a:lstStyle/>
              <a:p>
                <a:pPr>
                  <a:defRPr sz="1000" b="1" i="0" u="none" strike="noStrike" baseline="0">
                    <a:solidFill>
                      <a:srgbClr val="000000"/>
                    </a:solidFill>
                    <a:latin typeface="Calibri"/>
                    <a:ea typeface="Calibri"/>
                    <a:cs typeface="Calibri"/>
                  </a:defRPr>
                </a:pPr>
                <a:r>
                  <a:rPr lang="de-DE"/>
                  <a:t>Monat</a:t>
                </a:r>
              </a:p>
            </c:rich>
          </c:tx>
          <c:layout>
            <c:manualLayout>
              <c:xMode val="edge"/>
              <c:yMode val="edge"/>
              <c:x val="0.46388896179644212"/>
              <c:y val="0.90540598200625988"/>
            </c:manualLayout>
          </c:layout>
          <c:overlay val="0"/>
          <c:spPr>
            <a:noFill/>
            <a:ln w="25400">
              <a:noFill/>
            </a:ln>
          </c:spPr>
        </c:title>
        <c:numFmt formatCode="General" sourceLinked="1"/>
        <c:majorTickMark val="out"/>
        <c:minorTickMark val="none"/>
        <c:tickLblPos val="nextTo"/>
        <c:spPr>
          <a:ln w="3175">
            <a:solidFill>
              <a:srgbClr val="808080"/>
            </a:solidFill>
            <a:prstDash val="solid"/>
          </a:ln>
        </c:spPr>
        <c:txPr>
          <a:bodyPr rot="0" vert="horz"/>
          <a:lstStyle/>
          <a:p>
            <a:pPr>
              <a:defRPr sz="1000" b="0" i="0" u="none" strike="noStrike" baseline="0">
                <a:solidFill>
                  <a:srgbClr val="000000"/>
                </a:solidFill>
                <a:latin typeface="Calibri"/>
                <a:ea typeface="Calibri"/>
                <a:cs typeface="Calibri"/>
              </a:defRPr>
            </a:pPr>
            <a:endParaRPr lang="de-DE"/>
          </a:p>
        </c:txPr>
        <c:crossAx val="1"/>
        <c:crossesAt val="0"/>
        <c:auto val="1"/>
        <c:lblAlgn val="ctr"/>
        <c:lblOffset val="100"/>
        <c:tickLblSkip val="1"/>
        <c:tickMarkSkip val="1"/>
        <c:noMultiLvlLbl val="0"/>
      </c:catAx>
      <c:valAx>
        <c:axId val="1"/>
        <c:scaling>
          <c:orientation val="minMax"/>
        </c:scaling>
        <c:delete val="0"/>
        <c:axPos val="l"/>
        <c:majorGridlines>
          <c:spPr>
            <a:ln w="3175">
              <a:solidFill>
                <a:srgbClr val="808080"/>
              </a:solidFill>
              <a:prstDash val="solid"/>
            </a:ln>
          </c:spPr>
        </c:majorGridlines>
        <c:numFmt formatCode="#,##0.00\ &quot;€&quot;" sourceLinked="0"/>
        <c:majorTickMark val="out"/>
        <c:minorTickMark val="none"/>
        <c:tickLblPos val="nextTo"/>
        <c:spPr>
          <a:ln w="3175">
            <a:solidFill>
              <a:srgbClr val="808080"/>
            </a:solidFill>
            <a:prstDash val="solid"/>
          </a:ln>
        </c:spPr>
        <c:txPr>
          <a:bodyPr rot="0" vert="horz"/>
          <a:lstStyle/>
          <a:p>
            <a:pPr>
              <a:defRPr sz="1000" b="0" i="0" u="none" strike="noStrike" baseline="0">
                <a:solidFill>
                  <a:srgbClr val="000000"/>
                </a:solidFill>
                <a:latin typeface="Calibri"/>
                <a:ea typeface="Calibri"/>
                <a:cs typeface="Calibri"/>
              </a:defRPr>
            </a:pPr>
            <a:endParaRPr lang="de-DE"/>
          </a:p>
        </c:txPr>
        <c:crossAx val="1769920863"/>
        <c:crossesAt val="1"/>
        <c:crossBetween val="between"/>
      </c:valAx>
      <c:spPr>
        <a:solidFill>
          <a:srgbClr val="FFFFFF"/>
        </a:solidFill>
        <a:ln w="25400">
          <a:noFill/>
        </a:ln>
      </c:spPr>
    </c:plotArea>
    <c:legend>
      <c:legendPos val="r"/>
      <c:layout>
        <c:manualLayout>
          <c:xMode val="edge"/>
          <c:yMode val="edge"/>
          <c:x val="0.9148150335374744"/>
          <c:y val="0.3397686920151024"/>
          <c:w val="7.1879848352289305E-2"/>
          <c:h val="0.12205033194380116"/>
        </c:manualLayout>
      </c:layout>
      <c:overlay val="0"/>
      <c:spPr>
        <a:noFill/>
        <a:ln w="25400">
          <a:noFill/>
        </a:ln>
      </c:spPr>
      <c:txPr>
        <a:bodyPr/>
        <a:lstStyle/>
        <a:p>
          <a:pPr>
            <a:defRPr sz="920" b="0" i="0" u="none" strike="noStrike" baseline="0">
              <a:solidFill>
                <a:srgbClr val="000000"/>
              </a:solidFill>
              <a:latin typeface="Calibri"/>
              <a:ea typeface="Calibri"/>
              <a:cs typeface="Calibri"/>
            </a:defRPr>
          </a:pPr>
          <a:endParaRPr lang="de-DE"/>
        </a:p>
      </c:txPr>
    </c:legend>
    <c:plotVisOnly val="1"/>
    <c:dispBlanksAs val="gap"/>
    <c:showDLblsOverMax val="0"/>
  </c:chart>
  <c:spPr>
    <a:solidFill>
      <a:srgbClr val="FFFFFF"/>
    </a:solidFill>
    <a:ln w="3175">
      <a:solidFill>
        <a:srgbClr val="808080"/>
      </a:solidFill>
      <a:prstDash val="solid"/>
    </a:ln>
  </c:spPr>
  <c:txPr>
    <a:bodyPr/>
    <a:lstStyle/>
    <a:p>
      <a:pPr>
        <a:defRPr sz="1000" b="0" i="0" u="none" strike="noStrike" baseline="0">
          <a:solidFill>
            <a:srgbClr val="000000"/>
          </a:solidFill>
          <a:latin typeface="Calibri"/>
          <a:ea typeface="Calibri"/>
          <a:cs typeface="Calibri"/>
        </a:defRPr>
      </a:pPr>
      <a:endParaRPr lang="de-DE"/>
    </a:p>
  </c:txPr>
  <c:printSettings>
    <c:headerFooter alignWithMargins="0"/>
    <c:pageMargins b="0.984251969" l="0.78740157499999996" r="0.78740157499999996" t="0.984251969" header="0.51180555555555551" footer="0.51180555555555551"/>
    <c:pageSetup firstPageNumber="0"/>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de-DE"/>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1800" b="1" i="0" u="none" strike="noStrike" baseline="0">
                <a:solidFill>
                  <a:srgbClr val="000000"/>
                </a:solidFill>
                <a:latin typeface="Calibri"/>
                <a:ea typeface="Calibri"/>
                <a:cs typeface="Calibri"/>
              </a:defRPr>
            </a:pPr>
            <a:r>
              <a:rPr lang="de-DE"/>
              <a:t>Umsatzprognose kumuliert</a:t>
            </a:r>
          </a:p>
        </c:rich>
      </c:tx>
      <c:overlay val="0"/>
      <c:spPr>
        <a:noFill/>
        <a:ln w="25400">
          <a:noFill/>
        </a:ln>
      </c:spPr>
    </c:title>
    <c:autoTitleDeleted val="0"/>
    <c:plotArea>
      <c:layout/>
      <c:lineChart>
        <c:grouping val="standard"/>
        <c:varyColors val="0"/>
        <c:ser>
          <c:idx val="0"/>
          <c:order val="0"/>
          <c:tx>
            <c:v>kumuliert</c:v>
          </c:tx>
          <c:spPr>
            <a:ln w="25400">
              <a:solidFill>
                <a:srgbClr val="666699"/>
              </a:solidFill>
              <a:prstDash val="solid"/>
            </a:ln>
          </c:spPr>
          <c:marker>
            <c:spPr>
              <a:solidFill>
                <a:srgbClr val="4F81BD"/>
              </a:solidFill>
              <a:ln>
                <a:solidFill>
                  <a:srgbClr val="666699"/>
                </a:solidFill>
                <a:prstDash val="solid"/>
              </a:ln>
            </c:spPr>
          </c:marker>
          <c:cat>
            <c:strRef>
              <c:f>'Umsatz kumuliert'!$B$1:$M$1</c:f>
              <c:strCache>
                <c:ptCount val="12"/>
                <c:pt idx="0">
                  <c:v>Month 1</c:v>
                </c:pt>
                <c:pt idx="1">
                  <c:v>Month 2</c:v>
                </c:pt>
                <c:pt idx="2">
                  <c:v>Month 3</c:v>
                </c:pt>
                <c:pt idx="3">
                  <c:v>Month 4</c:v>
                </c:pt>
                <c:pt idx="4">
                  <c:v>Month 5</c:v>
                </c:pt>
                <c:pt idx="5">
                  <c:v>Month 6</c:v>
                </c:pt>
                <c:pt idx="6">
                  <c:v>Month 7</c:v>
                </c:pt>
                <c:pt idx="7">
                  <c:v>Month 8</c:v>
                </c:pt>
                <c:pt idx="8">
                  <c:v>Month 9</c:v>
                </c:pt>
                <c:pt idx="9">
                  <c:v>Month 10</c:v>
                </c:pt>
                <c:pt idx="10">
                  <c:v>Month 11</c:v>
                </c:pt>
                <c:pt idx="11">
                  <c:v>Month 12</c:v>
                </c:pt>
              </c:strCache>
            </c:strRef>
          </c:cat>
          <c:val>
            <c:numRef>
              <c:f>'Umsatz kumuliert'!$B$5:$M$5</c:f>
              <c:numCache>
                <c:formatCode>#,##0.00" €"</c:formatCode>
                <c:ptCount val="12"/>
                <c:pt idx="0">
                  <c:v>0</c:v>
                </c:pt>
                <c:pt idx="1">
                  <c:v>0</c:v>
                </c:pt>
                <c:pt idx="2">
                  <c:v>0</c:v>
                </c:pt>
                <c:pt idx="3">
                  <c:v>0</c:v>
                </c:pt>
                <c:pt idx="4">
                  <c:v>0</c:v>
                </c:pt>
                <c:pt idx="5">
                  <c:v>0</c:v>
                </c:pt>
                <c:pt idx="6">
                  <c:v>0</c:v>
                </c:pt>
                <c:pt idx="7">
                  <c:v>0</c:v>
                </c:pt>
                <c:pt idx="8">
                  <c:v>0</c:v>
                </c:pt>
                <c:pt idx="9">
                  <c:v>0</c:v>
                </c:pt>
                <c:pt idx="10">
                  <c:v>0</c:v>
                </c:pt>
                <c:pt idx="11">
                  <c:v>0</c:v>
                </c:pt>
              </c:numCache>
            </c:numRef>
          </c:val>
          <c:smooth val="0"/>
          <c:extLst>
            <c:ext xmlns:c16="http://schemas.microsoft.com/office/drawing/2014/chart" uri="{C3380CC4-5D6E-409C-BE32-E72D297353CC}">
              <c16:uniqueId val="{00000000-A7F4-5A43-9CE8-59090EA05F82}"/>
            </c:ext>
          </c:extLst>
        </c:ser>
        <c:ser>
          <c:idx val="1"/>
          <c:order val="1"/>
          <c:tx>
            <c:v>Plan kumuliert</c:v>
          </c:tx>
          <c:spPr>
            <a:ln w="25400">
              <a:solidFill>
                <a:srgbClr val="993366"/>
              </a:solidFill>
              <a:prstDash val="solid"/>
            </a:ln>
          </c:spPr>
          <c:marker>
            <c:spPr>
              <a:solidFill>
                <a:srgbClr val="C0504D"/>
              </a:solidFill>
              <a:ln>
                <a:solidFill>
                  <a:srgbClr val="993366"/>
                </a:solidFill>
                <a:prstDash val="solid"/>
              </a:ln>
            </c:spPr>
          </c:marker>
          <c:val>
            <c:numRef>
              <c:f>'Umsatz kumuliert'!$B$6:$M$6</c:f>
              <c:numCache>
                <c:formatCode>#,##0.00" €"</c:formatCode>
                <c:ptCount val="12"/>
                <c:pt idx="0">
                  <c:v>0</c:v>
                </c:pt>
                <c:pt idx="1">
                  <c:v>0</c:v>
                </c:pt>
                <c:pt idx="2">
                  <c:v>0</c:v>
                </c:pt>
                <c:pt idx="3">
                  <c:v>0</c:v>
                </c:pt>
                <c:pt idx="4">
                  <c:v>0</c:v>
                </c:pt>
                <c:pt idx="5">
                  <c:v>0</c:v>
                </c:pt>
                <c:pt idx="6">
                  <c:v>0</c:v>
                </c:pt>
                <c:pt idx="7">
                  <c:v>0</c:v>
                </c:pt>
                <c:pt idx="8">
                  <c:v>0</c:v>
                </c:pt>
                <c:pt idx="9">
                  <c:v>0</c:v>
                </c:pt>
                <c:pt idx="10">
                  <c:v>0</c:v>
                </c:pt>
                <c:pt idx="11">
                  <c:v>0</c:v>
                </c:pt>
              </c:numCache>
            </c:numRef>
          </c:val>
          <c:smooth val="0"/>
          <c:extLst>
            <c:ext xmlns:c16="http://schemas.microsoft.com/office/drawing/2014/chart" uri="{C3380CC4-5D6E-409C-BE32-E72D297353CC}">
              <c16:uniqueId val="{00000001-A7F4-5A43-9CE8-59090EA05F82}"/>
            </c:ext>
          </c:extLst>
        </c:ser>
        <c:ser>
          <c:idx val="2"/>
          <c:order val="2"/>
          <c:tx>
            <c:v>kumuliert Vorjahr</c:v>
          </c:tx>
          <c:val>
            <c:numRef>
              <c:f>'Umsatz kumuliert'!$B$9:$M$9</c:f>
              <c:numCache>
                <c:formatCode>#,##0.00\ "€"</c:formatCode>
                <c:ptCount val="12"/>
                <c:pt idx="0" formatCode="#,##0.00&quot; €&quot;">
                  <c:v>0</c:v>
                </c:pt>
                <c:pt idx="1">
                  <c:v>0</c:v>
                </c:pt>
                <c:pt idx="2">
                  <c:v>0</c:v>
                </c:pt>
                <c:pt idx="3">
                  <c:v>0</c:v>
                </c:pt>
                <c:pt idx="4">
                  <c:v>0</c:v>
                </c:pt>
                <c:pt idx="5">
                  <c:v>0</c:v>
                </c:pt>
                <c:pt idx="6">
                  <c:v>0</c:v>
                </c:pt>
                <c:pt idx="7">
                  <c:v>0</c:v>
                </c:pt>
                <c:pt idx="8">
                  <c:v>0</c:v>
                </c:pt>
                <c:pt idx="9">
                  <c:v>0</c:v>
                </c:pt>
                <c:pt idx="10">
                  <c:v>0</c:v>
                </c:pt>
                <c:pt idx="11">
                  <c:v>0</c:v>
                </c:pt>
              </c:numCache>
            </c:numRef>
          </c:val>
          <c:smooth val="0"/>
          <c:extLst>
            <c:ext xmlns:c16="http://schemas.microsoft.com/office/drawing/2014/chart" uri="{C3380CC4-5D6E-409C-BE32-E72D297353CC}">
              <c16:uniqueId val="{00000000-BF21-424A-BC63-A5DC043B4C35}"/>
            </c:ext>
          </c:extLst>
        </c:ser>
        <c:ser>
          <c:idx val="3"/>
          <c:order val="3"/>
          <c:tx>
            <c:v>kumuliert Vorvorjahr</c:v>
          </c:tx>
          <c:spPr>
            <a:ln>
              <a:solidFill>
                <a:schemeClr val="bg1">
                  <a:lumMod val="75000"/>
                </a:schemeClr>
              </a:solidFill>
              <a:prstDash val="sysDot"/>
            </a:ln>
          </c:spPr>
          <c:val>
            <c:numRef>
              <c:f>'Umsatz kumuliert'!$B$12:$M$12</c:f>
              <c:numCache>
                <c:formatCode>#,##0.00\ "€"</c:formatCode>
                <c:ptCount val="12"/>
                <c:pt idx="0" formatCode="#,##0.00&quot; €&quot;">
                  <c:v>0</c:v>
                </c:pt>
                <c:pt idx="1">
                  <c:v>0</c:v>
                </c:pt>
                <c:pt idx="2">
                  <c:v>0</c:v>
                </c:pt>
                <c:pt idx="3">
                  <c:v>0</c:v>
                </c:pt>
                <c:pt idx="4">
                  <c:v>0</c:v>
                </c:pt>
                <c:pt idx="5">
                  <c:v>0</c:v>
                </c:pt>
                <c:pt idx="6">
                  <c:v>0</c:v>
                </c:pt>
                <c:pt idx="7">
                  <c:v>0</c:v>
                </c:pt>
                <c:pt idx="8">
                  <c:v>0</c:v>
                </c:pt>
                <c:pt idx="9">
                  <c:v>0</c:v>
                </c:pt>
                <c:pt idx="10">
                  <c:v>0</c:v>
                </c:pt>
                <c:pt idx="11">
                  <c:v>0</c:v>
                </c:pt>
              </c:numCache>
            </c:numRef>
          </c:val>
          <c:smooth val="0"/>
          <c:extLst>
            <c:ext xmlns:c16="http://schemas.microsoft.com/office/drawing/2014/chart" uri="{C3380CC4-5D6E-409C-BE32-E72D297353CC}">
              <c16:uniqueId val="{00000000-C519-BC41-AFFF-FD86E399BFD8}"/>
            </c:ext>
          </c:extLst>
        </c:ser>
        <c:dLbls>
          <c:showLegendKey val="0"/>
          <c:showVal val="0"/>
          <c:showCatName val="0"/>
          <c:showSerName val="0"/>
          <c:showPercent val="0"/>
          <c:showBubbleSize val="0"/>
        </c:dLbls>
        <c:marker val="1"/>
        <c:smooth val="0"/>
        <c:axId val="1730480751"/>
        <c:axId val="1"/>
      </c:lineChart>
      <c:catAx>
        <c:axId val="1730480751"/>
        <c:scaling>
          <c:orientation val="minMax"/>
        </c:scaling>
        <c:delete val="0"/>
        <c:axPos val="b"/>
        <c:numFmt formatCode="General" sourceLinked="1"/>
        <c:majorTickMark val="out"/>
        <c:minorTickMark val="none"/>
        <c:tickLblPos val="nextTo"/>
        <c:spPr>
          <a:ln w="3175">
            <a:solidFill>
              <a:srgbClr val="808080"/>
            </a:solidFill>
            <a:prstDash val="solid"/>
          </a:ln>
        </c:spPr>
        <c:txPr>
          <a:bodyPr rot="0" vert="horz"/>
          <a:lstStyle/>
          <a:p>
            <a:pPr>
              <a:defRPr sz="1000" b="0" i="0" u="none" strike="noStrike" baseline="0">
                <a:solidFill>
                  <a:srgbClr val="000000"/>
                </a:solidFill>
                <a:latin typeface="Calibri"/>
                <a:ea typeface="Calibri"/>
                <a:cs typeface="Calibri"/>
              </a:defRPr>
            </a:pPr>
            <a:endParaRPr lang="de-DE"/>
          </a:p>
        </c:txPr>
        <c:crossAx val="1"/>
        <c:crosses val="autoZero"/>
        <c:auto val="1"/>
        <c:lblAlgn val="ctr"/>
        <c:lblOffset val="100"/>
        <c:noMultiLvlLbl val="0"/>
      </c:catAx>
      <c:valAx>
        <c:axId val="1"/>
        <c:scaling>
          <c:orientation val="minMax"/>
        </c:scaling>
        <c:delete val="0"/>
        <c:axPos val="l"/>
        <c:majorGridlines>
          <c:spPr>
            <a:ln w="3175">
              <a:solidFill>
                <a:srgbClr val="808080"/>
              </a:solidFill>
              <a:prstDash val="solid"/>
            </a:ln>
          </c:spPr>
        </c:majorGridlines>
        <c:numFmt formatCode="#,##0.00&quot; €&quot;" sourceLinked="1"/>
        <c:majorTickMark val="out"/>
        <c:minorTickMark val="none"/>
        <c:tickLblPos val="nextTo"/>
        <c:spPr>
          <a:ln w="3175">
            <a:solidFill>
              <a:srgbClr val="808080"/>
            </a:solidFill>
            <a:prstDash val="solid"/>
          </a:ln>
        </c:spPr>
        <c:txPr>
          <a:bodyPr rot="0" vert="horz"/>
          <a:lstStyle/>
          <a:p>
            <a:pPr>
              <a:defRPr sz="1000" b="0" i="0" u="none" strike="noStrike" baseline="0">
                <a:solidFill>
                  <a:srgbClr val="000000"/>
                </a:solidFill>
                <a:latin typeface="Calibri"/>
                <a:ea typeface="Calibri"/>
                <a:cs typeface="Calibri"/>
              </a:defRPr>
            </a:pPr>
            <a:endParaRPr lang="de-DE"/>
          </a:p>
        </c:txPr>
        <c:crossAx val="1730480751"/>
        <c:crosses val="autoZero"/>
        <c:crossBetween val="between"/>
      </c:valAx>
      <c:spPr>
        <a:solidFill>
          <a:srgbClr val="FFFFFF"/>
        </a:solidFill>
        <a:ln w="25400">
          <a:noFill/>
        </a:ln>
      </c:spPr>
    </c:plotArea>
    <c:legend>
      <c:legendPos val="r"/>
      <c:overlay val="0"/>
      <c:spPr>
        <a:noFill/>
        <a:ln w="25400">
          <a:noFill/>
        </a:ln>
      </c:spPr>
      <c:txPr>
        <a:bodyPr/>
        <a:lstStyle/>
        <a:p>
          <a:pPr>
            <a:defRPr sz="920" b="0" i="0" u="none" strike="noStrike" baseline="0">
              <a:solidFill>
                <a:srgbClr val="000000"/>
              </a:solidFill>
              <a:latin typeface="Calibri"/>
              <a:ea typeface="Calibri"/>
              <a:cs typeface="Calibri"/>
            </a:defRPr>
          </a:pPr>
          <a:endParaRPr lang="de-DE"/>
        </a:p>
      </c:txPr>
    </c:legend>
    <c:plotVisOnly val="1"/>
    <c:dispBlanksAs val="gap"/>
    <c:showDLblsOverMax val="0"/>
  </c:chart>
  <c:spPr>
    <a:solidFill>
      <a:srgbClr val="FFFFFF"/>
    </a:solidFill>
    <a:ln w="3175">
      <a:solidFill>
        <a:srgbClr val="808080"/>
      </a:solidFill>
      <a:prstDash val="solid"/>
    </a:ln>
  </c:spPr>
  <c:txPr>
    <a:bodyPr/>
    <a:lstStyle/>
    <a:p>
      <a:pPr>
        <a:defRPr sz="1000" b="0" i="0" u="none" strike="noStrike" baseline="0">
          <a:solidFill>
            <a:srgbClr val="000000"/>
          </a:solidFill>
          <a:latin typeface="Calibri"/>
          <a:ea typeface="Calibri"/>
          <a:cs typeface="Calibri"/>
        </a:defRPr>
      </a:pPr>
      <a:endParaRPr lang="de-DE"/>
    </a:p>
  </c:txPr>
  <c:printSettings>
    <c:headerFooter alignWithMargins="0"/>
    <c:pageMargins b="0.984251969" l="0.78740157499999996" r="0.78740157499999996" t="0.984251969" header="0.5" footer="0.5"/>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326">
  <cs:axisTitle>
    <cs:lnRef idx="0"/>
    <cs:fillRef idx="0"/>
    <cs:effectRef idx="0"/>
    <cs:fontRef idx="minor">
      <a:schemeClr val="tx2"/>
    </cs:fontRef>
    <cs:defRPr sz="900" b="1" kern="1200"/>
  </cs:axisTitle>
  <cs:categoryAxis>
    <cs:lnRef idx="0"/>
    <cs:fillRef idx="0"/>
    <cs:effectRef idx="0"/>
    <cs:fontRef idx="minor">
      <a:schemeClr val="tx2"/>
    </cs:fontRef>
    <cs:spPr>
      <a:ln w="9525" cap="flat" cmpd="sng" algn="ctr">
        <a:solidFill>
          <a:schemeClr val="tx2">
            <a:lumMod val="15000"/>
            <a:lumOff val="85000"/>
          </a:schemeClr>
        </a:solidFill>
        <a:round/>
      </a:ln>
    </cs:spPr>
    <cs:defRPr sz="900" kern="1200"/>
  </cs:categoryAxis>
  <cs:chartArea mods="allowNoFillOverride allowNoLineOverride">
    <cs:lnRef idx="0"/>
    <cs:fillRef idx="0"/>
    <cs:effectRef idx="0"/>
    <cs:fontRef idx="minor">
      <a:schemeClr val="tx2"/>
    </cs:fontRef>
    <cs:spPr>
      <a:solidFill>
        <a:schemeClr val="bg1"/>
      </a:solidFill>
      <a:ln w="9525" cap="flat" cmpd="sng" algn="ctr">
        <a:solidFill>
          <a:schemeClr val="tx2">
            <a:lumMod val="15000"/>
            <a:lumOff val="85000"/>
          </a:schemeClr>
        </a:solidFill>
        <a:round/>
      </a:ln>
    </cs:spPr>
    <cs:defRPr sz="900" kern="1200"/>
  </cs:chartArea>
  <cs:dataLabel>
    <cs:lnRef idx="0"/>
    <cs:fillRef idx="0"/>
    <cs:effectRef idx="0"/>
    <cs:fontRef idx="minor">
      <a:schemeClr val="tx2"/>
    </cs:fontRef>
    <cs:defRPr sz="900" kern="1200"/>
  </cs:dataLabel>
  <cs:dataLabelCallout>
    <cs:lnRef idx="0"/>
    <cs:fillRef idx="0"/>
    <cs:effectRef idx="0"/>
    <cs:fontRef idx="minor">
      <a:schemeClr val="dk2">
        <a:lumMod val="7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2"/>
    <cs:fontRef idx="minor">
      <a:schemeClr val="tx2"/>
    </cs:fontRef>
  </cs:dataPoint>
  <cs:dataPoint3D>
    <cs:lnRef idx="0"/>
    <cs:fillRef idx="3">
      <cs:styleClr val="auto"/>
    </cs:fillRef>
    <cs:effectRef idx="2"/>
    <cs:fontRef idx="minor">
      <a:schemeClr val="tx2"/>
    </cs:fontRef>
  </cs:dataPoint3D>
  <cs:dataPointLine>
    <cs:lnRef idx="0">
      <cs:styleClr val="auto"/>
    </cs:lnRef>
    <cs:fillRef idx="3"/>
    <cs:effectRef idx="2"/>
    <cs:fontRef idx="minor">
      <a:schemeClr val="tx2"/>
    </cs:fontRef>
    <cs:spPr>
      <a:ln w="31750" cap="rnd">
        <a:solidFill>
          <a:schemeClr val="phClr"/>
        </a:solidFill>
        <a:round/>
      </a:ln>
    </cs:spPr>
  </cs:dataPointLine>
  <cs:dataPointMarker>
    <cs:lnRef idx="0"/>
    <cs:fillRef idx="3">
      <cs:styleClr val="auto"/>
    </cs:fillRef>
    <cs:effectRef idx="2"/>
    <cs:fontRef idx="minor">
      <a:schemeClr val="tx2"/>
    </cs:fontRef>
    <cs:spPr>
      <a:ln w="12700">
        <a:solidFill>
          <a:schemeClr val="lt2"/>
        </a:solidFill>
        <a:round/>
      </a:ln>
    </cs:spPr>
  </cs:dataPointMarker>
  <cs:dataPointMarkerLayout symbol="circle" size="6"/>
  <cs:dataPointWireframe>
    <cs:lnRef idx="0">
      <cs:styleClr val="auto"/>
    </cs:lnRef>
    <cs:fillRef idx="3"/>
    <cs:effectRef idx="2"/>
    <cs:fontRef idx="minor">
      <a:schemeClr val="tx2"/>
    </cs:fontRef>
    <cs:spPr>
      <a:ln w="9525" cap="rnd">
        <a:solidFill>
          <a:schemeClr val="phClr"/>
        </a:solidFill>
        <a:round/>
      </a:ln>
    </cs:spPr>
  </cs:dataPointWireframe>
  <cs:dataTable>
    <cs:lnRef idx="0"/>
    <cs:fillRef idx="0"/>
    <cs:effectRef idx="0"/>
    <cs:fontRef idx="minor">
      <a:schemeClr val="tx2"/>
    </cs:fontRef>
    <cs:spPr>
      <a:ln w="9525">
        <a:solidFill>
          <a:schemeClr val="tx2">
            <a:lumMod val="15000"/>
            <a:lumOff val="85000"/>
          </a:schemeClr>
        </a:solidFill>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2"/>
    </cs:fontRef>
    <cs:spPr>
      <a:ln w="9525">
        <a:solidFill>
          <a:schemeClr val="dk1">
            <a:lumMod val="75000"/>
            <a:lumOff val="25000"/>
          </a:schemeClr>
        </a:solidFill>
        <a:prstDash val="dash"/>
      </a:ln>
    </cs:spPr>
  </cs:dropLine>
  <cs:errorBar>
    <cs:lnRef idx="0"/>
    <cs:fillRef idx="0"/>
    <cs:effectRef idx="0"/>
    <cs:fontRef idx="minor">
      <a:schemeClr val="tx2"/>
    </cs:fontRef>
    <cs:spPr>
      <a:ln w="9525">
        <a:solidFill>
          <a:schemeClr val="tx2">
            <a:lumMod val="75000"/>
          </a:schemeClr>
        </a:solidFill>
        <a:round/>
      </a:ln>
    </cs:spPr>
  </cs:errorBar>
  <cs:floor>
    <cs:lnRef idx="0"/>
    <cs:fillRef idx="0"/>
    <cs:effectRef idx="0"/>
    <cs:fontRef idx="minor">
      <a:schemeClr val="tx2"/>
    </cs:fontRef>
  </cs:floor>
  <cs:gridlineMajor>
    <cs:lnRef idx="0"/>
    <cs:fillRef idx="0"/>
    <cs:effectRef idx="0"/>
    <cs:fontRef idx="minor">
      <a:schemeClr val="tx2"/>
    </cs:fontRef>
    <cs:spPr>
      <a:ln w="9525" cap="flat" cmpd="sng" algn="ctr">
        <a:solidFill>
          <a:schemeClr val="tx2">
            <a:lumMod val="15000"/>
            <a:lumOff val="85000"/>
          </a:schemeClr>
        </a:solidFill>
        <a:round/>
      </a:ln>
    </cs:spPr>
  </cs:gridlineMajor>
  <cs:gridlineMinor>
    <cs:lnRef idx="0"/>
    <cs:fillRef idx="0"/>
    <cs:effectRef idx="0"/>
    <cs:fontRef idx="minor">
      <a:schemeClr val="tx2"/>
    </cs:fontRef>
    <cs:spPr>
      <a:ln>
        <a:solidFill>
          <a:schemeClr val="tx2">
            <a:lumMod val="5000"/>
            <a:lumOff val="95000"/>
          </a:schemeClr>
        </a:solidFill>
      </a:ln>
    </cs:spPr>
  </cs:gridlineMinor>
  <cs:hiLoLine>
    <cs:lnRef idx="0"/>
    <cs:fillRef idx="0"/>
    <cs:effectRef idx="0"/>
    <cs:fontRef idx="minor">
      <a:schemeClr val="tx2"/>
    </cs:fontRef>
    <cs:spPr>
      <a:ln w="9525">
        <a:solidFill>
          <a:schemeClr val="dk1">
            <a:lumMod val="75000"/>
            <a:lumOff val="25000"/>
          </a:schemeClr>
        </a:solidFill>
      </a:ln>
    </cs:spPr>
  </cs:hiLoLine>
  <cs:leaderLine>
    <cs:lnRef idx="0"/>
    <cs:fillRef idx="0"/>
    <cs:effectRef idx="0"/>
    <cs:fontRef idx="minor">
      <a:schemeClr val="tx2"/>
    </cs:fontRef>
    <cs:spPr>
      <a:ln w="9525">
        <a:solidFill>
          <a:schemeClr val="tx2">
            <a:lumMod val="35000"/>
            <a:lumOff val="65000"/>
          </a:schemeClr>
        </a:solidFill>
      </a:ln>
    </cs:spPr>
  </cs:leaderLine>
  <cs:legend>
    <cs:lnRef idx="0"/>
    <cs:fillRef idx="0"/>
    <cs:effectRef idx="0"/>
    <cs:fontRef idx="minor">
      <a:schemeClr val="tx2"/>
    </cs:fontRef>
    <cs:defRPr sz="900" kern="1200"/>
  </cs:legend>
  <cs:plotArea>
    <cs:lnRef idx="0"/>
    <cs:fillRef idx="0"/>
    <cs:effectRef idx="0"/>
    <cs:fontRef idx="minor">
      <a:schemeClr val="tx2"/>
    </cs:fontRef>
  </cs:plotArea>
  <cs:plotArea3D>
    <cs:lnRef idx="0"/>
    <cs:fillRef idx="0"/>
    <cs:effectRef idx="0"/>
    <cs:fontRef idx="minor">
      <a:schemeClr val="tx2"/>
    </cs:fontRef>
  </cs:plotArea3D>
  <cs:seriesAxis>
    <cs:lnRef idx="0"/>
    <cs:fillRef idx="0"/>
    <cs:effectRef idx="0"/>
    <cs:fontRef idx="minor">
      <a:schemeClr val="tx2"/>
    </cs:fontRef>
    <cs:spPr>
      <a:ln w="9525" cap="flat" cmpd="sng" algn="ctr">
        <a:solidFill>
          <a:schemeClr val="tx2">
            <a:lumMod val="15000"/>
            <a:lumOff val="85000"/>
          </a:schemeClr>
        </a:solidFill>
        <a:round/>
      </a:ln>
    </cs:spPr>
    <cs:defRPr sz="900" kern="1200"/>
  </cs:seriesAxis>
  <cs:seriesLine>
    <cs:lnRef idx="0"/>
    <cs:fillRef idx="0"/>
    <cs:effectRef idx="0"/>
    <cs:fontRef idx="minor">
      <a:schemeClr val="tx2"/>
    </cs:fontRef>
    <cs:spPr>
      <a:ln w="9525">
        <a:solidFill>
          <a:schemeClr val="tx2">
            <a:lumMod val="60000"/>
            <a:lumOff val="40000"/>
          </a:schemeClr>
        </a:solidFill>
        <a:prstDash val="dash"/>
      </a:ln>
    </cs:spPr>
  </cs:seriesLine>
  <cs:title>
    <cs:lnRef idx="0"/>
    <cs:fillRef idx="0"/>
    <cs:effectRef idx="0"/>
    <cs:fontRef idx="minor">
      <a:schemeClr val="tx2"/>
    </cs:fontRef>
    <cs:defRPr sz="1600" b="1" kern="1200"/>
  </cs:title>
  <cs:trendline>
    <cs:lnRef idx="0">
      <cs:styleClr val="auto"/>
    </cs:lnRef>
    <cs:fillRef idx="0"/>
    <cs:effectRef idx="0"/>
    <cs:fontRef idx="minor">
      <a:schemeClr val="tx2"/>
    </cs:fontRef>
    <cs:spPr>
      <a:ln w="19050" cap="rnd">
        <a:solidFill>
          <a:schemeClr val="phClr"/>
        </a:solidFill>
        <a:prstDash val="sysDash"/>
      </a:ln>
    </cs:spPr>
  </cs:trendline>
  <cs:trendlineLabel>
    <cs:lnRef idx="0"/>
    <cs:fillRef idx="0"/>
    <cs:effectRef idx="0"/>
    <cs:fontRef idx="minor">
      <a:schemeClr val="tx2"/>
    </cs:fontRef>
    <cs:defRPr sz="900" kern="1200"/>
  </cs:trendlineLabel>
  <cs:upBar>
    <cs:lnRef idx="0"/>
    <cs:fillRef idx="0"/>
    <cs:effectRef idx="0"/>
    <cs:fontRef idx="minor">
      <a:schemeClr val="tx2"/>
    </cs:fontRef>
    <cs:spPr>
      <a:solidFill>
        <a:schemeClr val="lt1"/>
      </a:solidFill>
      <a:ln w="9525">
        <a:solidFill>
          <a:schemeClr val="tx1">
            <a:lumMod val="15000"/>
            <a:lumOff val="85000"/>
          </a:schemeClr>
        </a:solidFill>
      </a:ln>
    </cs:spPr>
  </cs:upBar>
  <cs:valueAxis>
    <cs:lnRef idx="0"/>
    <cs:fillRef idx="0"/>
    <cs:effectRef idx="0"/>
    <cs:fontRef idx="minor">
      <a:schemeClr val="tx2"/>
    </cs:fontRef>
    <cs:defRPr sz="900" kern="1200"/>
  </cs:valueAxis>
  <cs:wall>
    <cs:lnRef idx="0"/>
    <cs:fillRef idx="0"/>
    <cs:effectRef idx="0"/>
    <cs:fontRef idx="minor">
      <a:schemeClr val="tx2"/>
    </cs:fontRef>
  </cs:wall>
</cs:chartStyle>
</file>

<file path=xl/charts/style2.xml><?xml version="1.0" encoding="utf-8"?>
<cs:chartStyle xmlns:cs="http://schemas.microsoft.com/office/drawing/2012/chartStyle" xmlns:a="http://schemas.openxmlformats.org/drawingml/2006/main" id="231">
  <cs:axisTitle>
    <cs:lnRef idx="0"/>
    <cs:fillRef idx="0"/>
    <cs:effectRef idx="0"/>
    <cs:fontRef idx="minor">
      <a:schemeClr val="tx2"/>
    </cs:fontRef>
    <cs:defRPr sz="900" b="1" kern="1200"/>
  </cs:axisTitle>
  <cs:categoryAxis>
    <cs:lnRef idx="0"/>
    <cs:fillRef idx="0"/>
    <cs:effectRef idx="0"/>
    <cs:fontRef idx="minor">
      <a:schemeClr val="tx2"/>
    </cs:fontRef>
    <cs:spPr>
      <a:ln w="9525" cap="flat" cmpd="sng" algn="ctr">
        <a:solidFill>
          <a:schemeClr val="tx2">
            <a:lumMod val="15000"/>
            <a:lumOff val="85000"/>
          </a:schemeClr>
        </a:solidFill>
        <a:round/>
      </a:ln>
    </cs:spPr>
    <cs:defRPr sz="900" kern="1200"/>
  </cs:categoryAxis>
  <cs:chartArea mods="allowNoFillOverride allowNoLineOverride">
    <cs:lnRef idx="0"/>
    <cs:fillRef idx="0"/>
    <cs:effectRef idx="0"/>
    <cs:fontRef idx="minor">
      <a:schemeClr val="tx2"/>
    </cs:fontRef>
    <cs:spPr>
      <a:solidFill>
        <a:schemeClr val="bg1"/>
      </a:solidFill>
      <a:ln w="9525" cap="flat" cmpd="sng" algn="ctr">
        <a:solidFill>
          <a:schemeClr val="tx2">
            <a:lumMod val="15000"/>
            <a:lumOff val="85000"/>
          </a:schemeClr>
        </a:solidFill>
        <a:round/>
      </a:ln>
    </cs:spPr>
    <cs:defRPr sz="900" kern="1200"/>
  </cs:chartArea>
  <cs:dataLabel>
    <cs:lnRef idx="0"/>
    <cs:fillRef idx="0"/>
    <cs:effectRef idx="0"/>
    <cs:fontRef idx="minor">
      <a:schemeClr val="tx2"/>
    </cs:fontRef>
    <cs:defRPr sz="900" kern="1200"/>
  </cs:dataLabel>
  <cs:dataLabelCallout>
    <cs:lnRef idx="0"/>
    <cs:fillRef idx="0"/>
    <cs:effectRef idx="0"/>
    <cs:fontRef idx="minor">
      <a:schemeClr val="dk2">
        <a:lumMod val="7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2"/>
    <cs:fontRef idx="minor">
      <a:schemeClr val="tx2"/>
    </cs:fontRef>
  </cs:dataPoint>
  <cs:dataPoint3D>
    <cs:lnRef idx="0"/>
    <cs:fillRef idx="3">
      <cs:styleClr val="auto"/>
    </cs:fillRef>
    <cs:effectRef idx="2"/>
    <cs:fontRef idx="minor">
      <a:schemeClr val="tx2"/>
    </cs:fontRef>
  </cs:dataPoint3D>
  <cs:dataPointLine>
    <cs:lnRef idx="0">
      <cs:styleClr val="auto"/>
    </cs:lnRef>
    <cs:fillRef idx="3"/>
    <cs:effectRef idx="2"/>
    <cs:fontRef idx="minor">
      <a:schemeClr val="tx2"/>
    </cs:fontRef>
    <cs:spPr>
      <a:ln w="31750" cap="rnd">
        <a:solidFill>
          <a:schemeClr val="phClr"/>
        </a:solidFill>
        <a:round/>
      </a:ln>
    </cs:spPr>
  </cs:dataPointLine>
  <cs:dataPointMarker>
    <cs:lnRef idx="0"/>
    <cs:fillRef idx="3">
      <cs:styleClr val="auto"/>
    </cs:fillRef>
    <cs:effectRef idx="2"/>
    <cs:fontRef idx="minor">
      <a:schemeClr val="tx2"/>
    </cs:fontRef>
    <cs:spPr>
      <a:ln w="12700">
        <a:solidFill>
          <a:schemeClr val="lt2"/>
        </a:solidFill>
        <a:round/>
      </a:ln>
    </cs:spPr>
  </cs:dataPointMarker>
  <cs:dataPointMarkerLayout symbol="circle" size="6"/>
  <cs:dataPointWireframe>
    <cs:lnRef idx="0">
      <cs:styleClr val="auto"/>
    </cs:lnRef>
    <cs:fillRef idx="3"/>
    <cs:effectRef idx="2"/>
    <cs:fontRef idx="minor">
      <a:schemeClr val="tx2"/>
    </cs:fontRef>
    <cs:spPr>
      <a:ln w="9525" cap="rnd">
        <a:solidFill>
          <a:schemeClr val="phClr"/>
        </a:solidFill>
        <a:round/>
      </a:ln>
    </cs:spPr>
  </cs:dataPointWireframe>
  <cs:dataTable>
    <cs:lnRef idx="0"/>
    <cs:fillRef idx="0"/>
    <cs:effectRef idx="0"/>
    <cs:fontRef idx="minor">
      <a:schemeClr val="tx2"/>
    </cs:fontRef>
    <cs:spPr>
      <a:ln w="9525">
        <a:solidFill>
          <a:schemeClr val="tx2">
            <a:lumMod val="15000"/>
            <a:lumOff val="85000"/>
          </a:schemeClr>
        </a:solidFill>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2"/>
    </cs:fontRef>
    <cs:spPr>
      <a:ln w="9525">
        <a:solidFill>
          <a:schemeClr val="tx2">
            <a:lumMod val="60000"/>
            <a:lumOff val="40000"/>
          </a:schemeClr>
        </a:solidFill>
        <a:prstDash val="dash"/>
      </a:ln>
    </cs:spPr>
  </cs:dropLine>
  <cs:errorBar>
    <cs:lnRef idx="0"/>
    <cs:fillRef idx="0"/>
    <cs:effectRef idx="0"/>
    <cs:fontRef idx="minor">
      <a:schemeClr val="tx2"/>
    </cs:fontRef>
    <cs:spPr>
      <a:ln w="9525">
        <a:solidFill>
          <a:schemeClr val="tx2">
            <a:lumMod val="75000"/>
          </a:schemeClr>
        </a:solidFill>
        <a:round/>
      </a:ln>
    </cs:spPr>
  </cs:errorBar>
  <cs:floor>
    <cs:lnRef idx="0"/>
    <cs:fillRef idx="0"/>
    <cs:effectRef idx="0"/>
    <cs:fontRef idx="minor">
      <a:schemeClr val="tx2"/>
    </cs:fontRef>
  </cs:floor>
  <cs:gridlineMajor>
    <cs:lnRef idx="0"/>
    <cs:fillRef idx="0"/>
    <cs:effectRef idx="0"/>
    <cs:fontRef idx="minor">
      <a:schemeClr val="tx2"/>
    </cs:fontRef>
    <cs:spPr>
      <a:ln w="9525" cap="flat" cmpd="sng" algn="ctr">
        <a:solidFill>
          <a:schemeClr val="tx2">
            <a:lumMod val="15000"/>
            <a:lumOff val="85000"/>
          </a:schemeClr>
        </a:solidFill>
        <a:round/>
      </a:ln>
    </cs:spPr>
  </cs:gridlineMajor>
  <cs:gridlineMinor>
    <cs:lnRef idx="0"/>
    <cs:fillRef idx="0"/>
    <cs:effectRef idx="0"/>
    <cs:fontRef idx="minor">
      <a:schemeClr val="tx2"/>
    </cs:fontRef>
    <cs:spPr>
      <a:ln>
        <a:solidFill>
          <a:schemeClr val="tx2">
            <a:lumMod val="5000"/>
            <a:lumOff val="95000"/>
          </a:schemeClr>
        </a:solidFill>
      </a:ln>
    </cs:spPr>
  </cs:gridlineMinor>
  <cs:hiLoLine>
    <cs:lnRef idx="0"/>
    <cs:fillRef idx="0"/>
    <cs:effectRef idx="0"/>
    <cs:fontRef idx="minor">
      <a:schemeClr val="tx2"/>
    </cs:fontRef>
    <cs:spPr>
      <a:ln w="9525">
        <a:solidFill>
          <a:schemeClr val="tx2">
            <a:lumMod val="60000"/>
            <a:lumOff val="40000"/>
          </a:schemeClr>
        </a:solidFill>
        <a:prstDash val="dash"/>
      </a:ln>
    </cs:spPr>
  </cs:hiLoLine>
  <cs:leaderLine>
    <cs:lnRef idx="0"/>
    <cs:fillRef idx="0"/>
    <cs:effectRef idx="0"/>
    <cs:fontRef idx="minor">
      <a:schemeClr val="tx2"/>
    </cs:fontRef>
    <cs:spPr>
      <a:ln w="9525">
        <a:solidFill>
          <a:schemeClr val="tx2">
            <a:lumMod val="35000"/>
            <a:lumOff val="65000"/>
          </a:schemeClr>
        </a:solidFill>
      </a:ln>
    </cs:spPr>
  </cs:leaderLine>
  <cs:legend>
    <cs:lnRef idx="0"/>
    <cs:fillRef idx="0"/>
    <cs:effectRef idx="0"/>
    <cs:fontRef idx="minor">
      <a:schemeClr val="tx2"/>
    </cs:fontRef>
    <cs:defRPr sz="900" kern="1200"/>
  </cs:legend>
  <cs:plotArea>
    <cs:lnRef idx="0"/>
    <cs:fillRef idx="0"/>
    <cs:effectRef idx="0"/>
    <cs:fontRef idx="minor">
      <a:schemeClr val="tx2"/>
    </cs:fontRef>
  </cs:plotArea>
  <cs:plotArea3D>
    <cs:lnRef idx="0"/>
    <cs:fillRef idx="0"/>
    <cs:effectRef idx="0"/>
    <cs:fontRef idx="minor">
      <a:schemeClr val="tx2"/>
    </cs:fontRef>
  </cs:plotArea3D>
  <cs:seriesAxis>
    <cs:lnRef idx="0"/>
    <cs:fillRef idx="0"/>
    <cs:effectRef idx="0"/>
    <cs:fontRef idx="minor">
      <a:schemeClr val="tx2"/>
    </cs:fontRef>
    <cs:spPr>
      <a:ln w="9525" cap="flat" cmpd="sng" algn="ctr">
        <a:solidFill>
          <a:schemeClr val="tx2">
            <a:lumMod val="15000"/>
            <a:lumOff val="85000"/>
          </a:schemeClr>
        </a:solidFill>
        <a:round/>
      </a:ln>
    </cs:spPr>
    <cs:defRPr sz="900" kern="1200"/>
  </cs:seriesAxis>
  <cs:seriesLine>
    <cs:lnRef idx="0"/>
    <cs:fillRef idx="0"/>
    <cs:effectRef idx="0"/>
    <cs:fontRef idx="minor">
      <a:schemeClr val="tx2"/>
    </cs:fontRef>
    <cs:spPr>
      <a:ln w="9525">
        <a:solidFill>
          <a:schemeClr val="tx2">
            <a:lumMod val="60000"/>
            <a:lumOff val="40000"/>
          </a:schemeClr>
        </a:solidFill>
        <a:prstDash val="dash"/>
      </a:ln>
    </cs:spPr>
  </cs:seriesLine>
  <cs:title>
    <cs:lnRef idx="0"/>
    <cs:fillRef idx="0"/>
    <cs:effectRef idx="0"/>
    <cs:fontRef idx="minor">
      <a:schemeClr val="tx2"/>
    </cs:fontRef>
    <cs:defRPr sz="1600" b="1" kern="1200"/>
  </cs:title>
  <cs:trendline>
    <cs:lnRef idx="0">
      <cs:styleClr val="auto"/>
    </cs:lnRef>
    <cs:fillRef idx="0"/>
    <cs:effectRef idx="0"/>
    <cs:fontRef idx="minor">
      <a:schemeClr val="tx2"/>
    </cs:fontRef>
    <cs:spPr>
      <a:ln w="19050" cap="rnd">
        <a:solidFill>
          <a:schemeClr val="phClr"/>
        </a:solidFill>
        <a:prstDash val="sysDash"/>
      </a:ln>
    </cs:spPr>
  </cs:trendline>
  <cs:trendlineLabel>
    <cs:lnRef idx="0"/>
    <cs:fillRef idx="0"/>
    <cs:effectRef idx="0"/>
    <cs:fontRef idx="minor">
      <a:schemeClr val="tx2"/>
    </cs:fontRef>
    <cs:defRPr sz="900" kern="1200"/>
  </cs:trendlineLabel>
  <cs:upBar>
    <cs:lnRef idx="0"/>
    <cs:fillRef idx="0"/>
    <cs:effectRef idx="0"/>
    <cs:fontRef idx="minor">
      <a:schemeClr val="tx2"/>
    </cs:fontRef>
    <cs:spPr>
      <a:solidFill>
        <a:schemeClr val="lt1"/>
      </a:solidFill>
      <a:ln w="9525">
        <a:solidFill>
          <a:schemeClr val="tx1">
            <a:lumMod val="15000"/>
            <a:lumOff val="85000"/>
          </a:schemeClr>
        </a:solidFill>
      </a:ln>
    </cs:spPr>
  </cs:upBar>
  <cs:valueAxis>
    <cs:lnRef idx="0"/>
    <cs:fillRef idx="0"/>
    <cs:effectRef idx="0"/>
    <cs:fontRef idx="minor">
      <a:schemeClr val="tx2"/>
    </cs:fontRef>
    <cs:defRPr sz="900" kern="1200"/>
  </cs:valueAxis>
  <cs:wall>
    <cs:lnRef idx="0"/>
    <cs:fillRef idx="0"/>
    <cs:effectRef idx="0"/>
    <cs:fontRef idx="minor">
      <a:schemeClr val="tx2"/>
    </cs:fontRef>
  </cs:wall>
</cs:chartStyle>
</file>

<file path=xl/drawings/_rels/drawing1.xml.rels><?xml version="1.0" encoding="UTF-8" standalone="yes"?>
<Relationships xmlns="http://schemas.openxmlformats.org/package/2006/relationships"><Relationship Id="rId2" Type="http://schemas.openxmlformats.org/officeDocument/2006/relationships/chart" Target="../charts/chart2.xml"/><Relationship Id="rId1" Type="http://schemas.openxmlformats.org/officeDocument/2006/relationships/chart" Target="../charts/chart1.xml"/></Relationships>
</file>

<file path=xl/drawings/_rels/drawing2.xml.rels><?xml version="1.0" encoding="UTF-8" standalone="yes"?>
<Relationships xmlns="http://schemas.openxmlformats.org/package/2006/relationships"><Relationship Id="rId2" Type="http://schemas.openxmlformats.org/officeDocument/2006/relationships/chart" Target="../charts/chart4.xml"/><Relationship Id="rId1" Type="http://schemas.openxmlformats.org/officeDocument/2006/relationships/chart" Target="../charts/chart3.xml"/></Relationships>
</file>

<file path=xl/drawings/drawing1.xml><?xml version="1.0" encoding="utf-8"?>
<xdr:wsDr xmlns:xdr="http://schemas.openxmlformats.org/drawingml/2006/spreadsheetDrawing" xmlns:a="http://schemas.openxmlformats.org/drawingml/2006/main">
  <xdr:twoCellAnchor>
    <xdr:from>
      <xdr:col>0</xdr:col>
      <xdr:colOff>177800</xdr:colOff>
      <xdr:row>0</xdr:row>
      <xdr:rowOff>0</xdr:rowOff>
    </xdr:from>
    <xdr:to>
      <xdr:col>16</xdr:col>
      <xdr:colOff>482600</xdr:colOff>
      <xdr:row>43</xdr:row>
      <xdr:rowOff>25400</xdr:rowOff>
    </xdr:to>
    <xdr:graphicFrame macro="">
      <xdr:nvGraphicFramePr>
        <xdr:cNvPr id="2" name="Diagramm 1">
          <a:extLst>
            <a:ext uri="{FF2B5EF4-FFF2-40B4-BE49-F238E27FC236}">
              <a16:creationId xmlns:a16="http://schemas.microsoft.com/office/drawing/2014/main" id="{3E71236F-1569-244D-898A-EA00F8E47603}"/>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114300</xdr:colOff>
      <xdr:row>45</xdr:row>
      <xdr:rowOff>146050</xdr:rowOff>
    </xdr:from>
    <xdr:to>
      <xdr:col>16</xdr:col>
      <xdr:colOff>596900</xdr:colOff>
      <xdr:row>87</xdr:row>
      <xdr:rowOff>31750</xdr:rowOff>
    </xdr:to>
    <xdr:graphicFrame macro="">
      <xdr:nvGraphicFramePr>
        <xdr:cNvPr id="4" name="Diagramm 3">
          <a:extLst>
            <a:ext uri="{FF2B5EF4-FFF2-40B4-BE49-F238E27FC236}">
              <a16:creationId xmlns:a16="http://schemas.microsoft.com/office/drawing/2014/main" id="{DAE9D5FE-726B-D442-AC6D-1089930CA4A2}"/>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xdr:from>
      <xdr:col>0</xdr:col>
      <xdr:colOff>101600</xdr:colOff>
      <xdr:row>0</xdr:row>
      <xdr:rowOff>88900</xdr:rowOff>
    </xdr:from>
    <xdr:to>
      <xdr:col>16</xdr:col>
      <xdr:colOff>406400</xdr:colOff>
      <xdr:row>43</xdr:row>
      <xdr:rowOff>114300</xdr:rowOff>
    </xdr:to>
    <xdr:graphicFrame macro="">
      <xdr:nvGraphicFramePr>
        <xdr:cNvPr id="2057" name="Diagramm 1">
          <a:extLst>
            <a:ext uri="{FF2B5EF4-FFF2-40B4-BE49-F238E27FC236}">
              <a16:creationId xmlns:a16="http://schemas.microsoft.com/office/drawing/2014/main" id="{9334AD15-94FE-9945-B27A-1D8F5837CEA1}"/>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38100</xdr:colOff>
      <xdr:row>46</xdr:row>
      <xdr:rowOff>38100</xdr:rowOff>
    </xdr:from>
    <xdr:to>
      <xdr:col>16</xdr:col>
      <xdr:colOff>368300</xdr:colOff>
      <xdr:row>87</xdr:row>
      <xdr:rowOff>88900</xdr:rowOff>
    </xdr:to>
    <xdr:graphicFrame macro="">
      <xdr:nvGraphicFramePr>
        <xdr:cNvPr id="2058" name="Diagramm 1">
          <a:extLst>
            <a:ext uri="{FF2B5EF4-FFF2-40B4-BE49-F238E27FC236}">
              <a16:creationId xmlns:a16="http://schemas.microsoft.com/office/drawing/2014/main" id="{953FB98F-4F7A-9C48-B93D-182D7A7A20B9}"/>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persons/person.xml><?xml version="1.0" encoding="utf-8"?>
<personList xmlns="http://schemas.microsoft.com/office/spreadsheetml/2018/threadedcomments" xmlns:x="http://schemas.openxmlformats.org/spreadsheetml/2006/main">
  <person displayName="Kai Reinhard" id="{A78CCFA2-D802-6742-9423-F4345C0EED1C}" userId="S::k.reinhard@polyas.info::5942220e-ce17-47d6-a3ca-de88d399bc0c" providerId="AD"/>
  <person displayName="Kai Reinhard" id="{33547D16-133A-3948-B40B-5CD925F3958C}" userId="S::k.reinhard@micromata.onmicrosoft.de::06435126-6300-4a42-aba8-c2826b3621ef" providerId="AD"/>
</personList>
</file>

<file path=xl/theme/theme1.xml><?xml version="1.0" encoding="utf-8"?>
<a:theme xmlns:a="http://schemas.openxmlformats.org/drawingml/2006/main" name="Office-Design">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30000"/>
              </a:schemeClr>
            </a:gs>
            <a:gs pos="100000">
              <a:schemeClr val="phClr">
                <a:tint val="50000"/>
                <a:shade val="100000"/>
                <a:satMod val="350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bwMode="auto">
        <a:xfrm>
          <a:off x="0" y="0"/>
          <a:ext cx="1" cy="1"/>
        </a:xfrm>
        <a:custGeom>
          <a:avLst/>
          <a:gdLst/>
          <a:ahLst/>
          <a:cxnLst/>
          <a:rect l="0" t="0" r="0" b="0"/>
          <a:pathLst/>
        </a:custGeom>
        <a:solidFill>
          <a:srgbClr xmlns:mc="http://schemas.openxmlformats.org/markup-compatibility/2006" xmlns:a14="http://schemas.microsoft.com/office/drawing/2010/main" val="090000" mc:Ignorable="a14" a14:legacySpreadsheetColorIndex="9"/>
        </a:solidFill>
        <a:ln w="9525" cap="flat" cmpd="sng" algn="ctr">
          <a:solidFill>
            <a:srgbClr xmlns:mc="http://schemas.openxmlformats.org/markup-compatibility/2006" xmlns:a14="http://schemas.microsoft.com/office/drawing/2010/main" val="400000" mc:Ignorable="a14" a14:legacySpreadsheetColorIndex="64"/>
          </a:solidFill>
          <a:prstDash val="solid"/>
          <a:round/>
          <a:headEnd type="none" w="med" len="med"/>
          <a:tailEnd type="none" w="med" len="med"/>
        </a:ln>
        <a:effectLst/>
      </a:spPr>
      <a:bodyPr vertOverflow="clip" wrap="square" lIns="18288" tIns="0" rIns="0" bIns="0" upright="1"/>
      <a:lstStyle/>
    </a:spDef>
    <a:lnDef>
      <a:spPr bwMode="auto">
        <a:xfrm>
          <a:off x="0" y="0"/>
          <a:ext cx="1" cy="1"/>
        </a:xfrm>
        <a:custGeom>
          <a:avLst/>
          <a:gdLst/>
          <a:ahLst/>
          <a:cxnLst/>
          <a:rect l="0" t="0" r="0" b="0"/>
          <a:pathLst/>
        </a:custGeom>
        <a:solidFill>
          <a:srgbClr xmlns:mc="http://schemas.openxmlformats.org/markup-compatibility/2006" xmlns:a14="http://schemas.microsoft.com/office/drawing/2010/main" val="090000" mc:Ignorable="a14" a14:legacySpreadsheetColorIndex="9"/>
        </a:solidFill>
        <a:ln w="9525" cap="flat" cmpd="sng" algn="ctr">
          <a:solidFill>
            <a:srgbClr xmlns:mc="http://schemas.openxmlformats.org/markup-compatibility/2006" xmlns:a14="http://schemas.microsoft.com/office/drawing/2010/main" val="400000" mc:Ignorable="a14" a14:legacySpreadsheetColorIndex="64"/>
          </a:solidFill>
          <a:prstDash val="solid"/>
          <a:round/>
          <a:headEnd type="none" w="med" len="med"/>
          <a:tailEnd type="none" w="med" len="med"/>
        </a:ln>
        <a:effectLst/>
      </a:spPr>
      <a:bodyPr vertOverflow="clip" wrap="square" lIns="18288" tIns="0" rIns="0" bIns="0" upright="1"/>
      <a:lstStyle/>
    </a:lnDef>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P10" dT="2019-12-19T15:09:32.91" personId="{33547D16-133A-3948-B40B-5CD925F3958C}" id="{E45442EF-B789-F747-94A0-67C234C866AE}">
    <text>Nettosumme gewichtet mit der Eintrittswahrscheinlichkeit</text>
  </threadedComment>
  <threadedComment ref="R10" dT="2019-12-19T15:10:08.52" personId="{33547D16-133A-3948-B40B-5CD925F3958C}" id="{0E5EDB66-204F-AF48-AF0C-800703AD109B}">
    <text>gewichtete Nettosumme abzügiich bereits faktuierter Beträge</text>
  </threadedComment>
  <threadedComment ref="Y10" dT="2025-01-09T14:32:39.85" personId="{A78CCFA2-D802-6742-9423-F4345C0EED1C}" id="{E18BEFC3-4A25-4C4E-8456-D4AA5435172B}">
    <text>Diese Beträge sind nach dem betrachteten Forecast-Zeitraum noch offen. Werden demnach später in Rechnung gestellt.</text>
  </threadedComment>
  <threadedComment ref="Z10" dT="2025-01-09T14:33:25.24" personId="{A78CCFA2-D802-6742-9423-F4345C0EED1C}" id="{876D63B5-EF23-C74F-AFE0-495EE5563AFA}">
    <text>Das Budget ist um den angegebenen Betrag unter- (negative Werte) oder überschritten (positive Werte)</text>
  </threadedComment>
</ThreadedComments>
</file>

<file path=xl/threadedComments/threadedComment2.xml><?xml version="1.0" encoding="utf-8"?>
<ThreadedComments xmlns="http://schemas.microsoft.com/office/spreadsheetml/2018/threadedcomments" xmlns:x="http://schemas.openxmlformats.org/spreadsheetml/2006/main">
  <threadedComment ref="P10" dT="2019-12-19T15:09:32.91" personId="{33547D16-133A-3948-B40B-5CD925F3958C}" id="{164688EE-C018-C74D-9C06-663D4DFF9926}">
    <text>Nettosumme gewichtet mit der Eintrittswahrscheinlichkeit</text>
  </threadedComment>
  <threadedComment ref="R10" dT="2019-12-19T15:10:08.52" personId="{33547D16-133A-3948-B40B-5CD925F3958C}" id="{8A1ADE95-CAA9-B447-9E86-6A4505BBEEA3}">
    <text>gewichtete Nettosumme abzügiich bereits faktuierter Beträge</text>
  </threadedComment>
  <threadedComment ref="Y10" dT="2025-01-09T14:32:39.85" personId="{A78CCFA2-D802-6742-9423-F4345C0EED1C}" id="{DDB2B422-1A98-B042-B162-FC9B5B1C5A39}">
    <text>Diese Beträge sind nach dem betrachteten Forecast-Zeitraum noch offen. Werden demnach später in Rechnung gestellt.</text>
  </threadedComment>
  <threadedComment ref="Z10" dT="2025-01-09T14:33:25.24" personId="{A78CCFA2-D802-6742-9423-F4345C0EED1C}" id="{4BF7C68F-136F-1D47-BEF5-17303DC0469A}">
    <text>Das Budget ist um den angegebenen Betrag unter- (negative Werte) oder überschritten (positive Werte)</text>
  </threadedComment>
</ThreadedComments>
</file>

<file path=xl/worksheets/_rels/sheet1.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2.xml"/><Relationship Id="rId2" Type="http://schemas.openxmlformats.org/officeDocument/2006/relationships/comments" Target="../comments2.xml"/><Relationship Id="rId1" Type="http://schemas.openxmlformats.org/officeDocument/2006/relationships/vmlDrawing" Target="../drawings/vmlDrawing2.v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AX10"/>
  <sheetViews>
    <sheetView workbookViewId="0">
      <pane xSplit="5" ySplit="10" topLeftCell="F15" activePane="bottomRight" state="frozen"/>
      <selection pane="topRight" activeCell="D1" sqref="D1"/>
      <selection pane="bottomLeft" activeCell="A11" sqref="A11"/>
      <selection pane="bottomRight" activeCell="C1" sqref="C1:E1"/>
    </sheetView>
  </sheetViews>
  <sheetFormatPr baseColWidth="10" defaultColWidth="8.6640625" defaultRowHeight="13" x14ac:dyDescent="0.15"/>
  <cols>
    <col min="1" max="1" width="7.83203125" customWidth="1"/>
    <col min="2" max="2" width="6.33203125" customWidth="1"/>
    <col min="3" max="3" width="13.1640625" customWidth="1"/>
    <col min="4" max="4" width="18" style="1" customWidth="1"/>
    <col min="5" max="5" width="23.83203125" customWidth="1"/>
    <col min="6" max="6" width="16.6640625" customWidth="1"/>
    <col min="7" max="8" width="31.1640625" customWidth="1"/>
    <col min="9" max="12" width="11.5" customWidth="1"/>
    <col min="13" max="13" width="8.33203125" customWidth="1"/>
    <col min="14" max="14" width="12.5" style="2" customWidth="1"/>
    <col min="15" max="15" width="11.5" customWidth="1"/>
    <col min="16" max="16" width="13.6640625" style="2" customWidth="1"/>
    <col min="17" max="19" width="11.5" style="2" customWidth="1"/>
    <col min="20" max="20" width="11.5" style="20" customWidth="1"/>
    <col min="21" max="22" width="11.5" style="1" customWidth="1"/>
    <col min="23" max="24" width="8" customWidth="1"/>
    <col min="25" max="25" width="13.33203125" style="25" customWidth="1"/>
    <col min="26" max="27" width="13.1640625" style="25" customWidth="1"/>
    <col min="28" max="28" width="14.1640625" customWidth="1"/>
    <col min="29" max="29" width="12" bestFit="1" customWidth="1"/>
    <col min="30" max="41" width="12.83203125" style="2" customWidth="1"/>
    <col min="42" max="43" width="19" style="1" customWidth="1"/>
    <col min="44" max="44" width="52.83203125" customWidth="1"/>
    <col min="45" max="45" width="16.5" customWidth="1"/>
    <col min="46" max="46" width="29.5" customWidth="1"/>
    <col min="47" max="47" width="65.6640625" customWidth="1"/>
    <col min="48" max="48" width="9.6640625" hidden="1" customWidth="1"/>
    <col min="49" max="49" width="9.5" hidden="1" customWidth="1"/>
    <col min="50" max="50" width="10.33203125" hidden="1" customWidth="1"/>
  </cols>
  <sheetData>
    <row r="1" spans="1:50" ht="28" x14ac:dyDescent="0.15">
      <c r="A1" s="3" t="s">
        <v>0</v>
      </c>
      <c r="B1" s="3" t="s">
        <v>46</v>
      </c>
      <c r="C1" s="3" t="s">
        <v>100</v>
      </c>
      <c r="D1" s="4" t="s">
        <v>44</v>
      </c>
      <c r="E1" s="21" t="s">
        <v>3</v>
      </c>
      <c r="F1" s="21" t="s">
        <v>91</v>
      </c>
      <c r="G1" s="21" t="s">
        <v>4</v>
      </c>
      <c r="H1" s="21" t="s">
        <v>30</v>
      </c>
      <c r="I1" s="21" t="s">
        <v>5</v>
      </c>
      <c r="J1" s="21" t="s">
        <v>6</v>
      </c>
      <c r="K1" s="21" t="s">
        <v>7</v>
      </c>
      <c r="L1" s="21" t="s">
        <v>8</v>
      </c>
      <c r="M1" s="3" t="s">
        <v>9</v>
      </c>
      <c r="N1" s="5" t="s">
        <v>10</v>
      </c>
      <c r="O1" s="3" t="s">
        <v>15</v>
      </c>
      <c r="P1" s="5" t="s">
        <v>55</v>
      </c>
      <c r="Q1" s="5" t="s">
        <v>11</v>
      </c>
      <c r="R1" s="5" t="s">
        <v>56</v>
      </c>
      <c r="S1" s="5" t="s">
        <v>12</v>
      </c>
      <c r="T1" s="3" t="s">
        <v>13</v>
      </c>
      <c r="U1" s="36" t="s">
        <v>14</v>
      </c>
      <c r="V1" s="36"/>
      <c r="W1" s="3" t="s">
        <v>19</v>
      </c>
      <c r="X1" s="3" t="s">
        <v>90</v>
      </c>
      <c r="Y1" s="27" t="s">
        <v>87</v>
      </c>
      <c r="Z1" s="27" t="s">
        <v>86</v>
      </c>
      <c r="AA1" s="3" t="s">
        <v>88</v>
      </c>
      <c r="AB1" s="3" t="s">
        <v>101</v>
      </c>
      <c r="AC1" s="3"/>
      <c r="AD1" s="5" t="s">
        <v>37</v>
      </c>
      <c r="AE1" s="5" t="s">
        <v>38</v>
      </c>
      <c r="AF1" s="5" t="s">
        <v>39</v>
      </c>
      <c r="AG1" s="5" t="s">
        <v>40</v>
      </c>
      <c r="AH1" s="5" t="s">
        <v>41</v>
      </c>
      <c r="AI1" s="5" t="s">
        <v>42</v>
      </c>
      <c r="AJ1" s="5" t="s">
        <v>31</v>
      </c>
      <c r="AK1" s="5" t="s">
        <v>32</v>
      </c>
      <c r="AL1" s="5" t="s">
        <v>33</v>
      </c>
      <c r="AM1" s="5" t="s">
        <v>34</v>
      </c>
      <c r="AN1" s="5" t="s">
        <v>35</v>
      </c>
      <c r="AO1" s="5" t="s">
        <v>36</v>
      </c>
      <c r="AP1" s="22" t="s">
        <v>1</v>
      </c>
      <c r="AQ1" s="22" t="s">
        <v>2</v>
      </c>
      <c r="AR1" s="26" t="s">
        <v>54</v>
      </c>
      <c r="AS1" s="21" t="s">
        <v>16</v>
      </c>
      <c r="AT1" s="21" t="s">
        <v>17</v>
      </c>
      <c r="AU1" s="21" t="s">
        <v>18</v>
      </c>
      <c r="AV1" t="s">
        <v>97</v>
      </c>
      <c r="AW1" t="s">
        <v>96</v>
      </c>
      <c r="AX1" s="33" t="s">
        <v>98</v>
      </c>
    </row>
    <row r="2" spans="1:50" ht="20" x14ac:dyDescent="0.15">
      <c r="A2" s="37" t="s">
        <v>95</v>
      </c>
      <c r="B2" s="37"/>
      <c r="C2" s="34"/>
      <c r="AC2" s="6" t="s">
        <v>20</v>
      </c>
      <c r="AD2" s="7">
        <f>SUMIFS(AD11:AD100000,$L11:$L100000,"=beauftragt",$AW11:$AW100000,1)</f>
        <v>0</v>
      </c>
      <c r="AE2" s="7">
        <f t="shared" ref="AE2:AO2" si="0">SUMIFS(AE11:AE100000,$L11:$L100000,"=beauftragt",$AW11:$AW100000,1)</f>
        <v>0</v>
      </c>
      <c r="AF2" s="7">
        <f t="shared" si="0"/>
        <v>0</v>
      </c>
      <c r="AG2" s="7">
        <f t="shared" si="0"/>
        <v>0</v>
      </c>
      <c r="AH2" s="7">
        <f t="shared" si="0"/>
        <v>0</v>
      </c>
      <c r="AI2" s="7">
        <f t="shared" si="0"/>
        <v>0</v>
      </c>
      <c r="AJ2" s="7">
        <f t="shared" si="0"/>
        <v>0</v>
      </c>
      <c r="AK2" s="7">
        <f t="shared" si="0"/>
        <v>0</v>
      </c>
      <c r="AL2" s="7">
        <f t="shared" si="0"/>
        <v>0</v>
      </c>
      <c r="AM2" s="7">
        <f t="shared" si="0"/>
        <v>0</v>
      </c>
      <c r="AN2" s="7">
        <f t="shared" si="0"/>
        <v>0</v>
      </c>
      <c r="AO2" s="7">
        <f t="shared" si="0"/>
        <v>0</v>
      </c>
    </row>
    <row r="3" spans="1:50" x14ac:dyDescent="0.15">
      <c r="AC3" s="8" t="s">
        <v>21</v>
      </c>
      <c r="AD3" s="9">
        <f>SUMIFS(AD11:AD100000,$L11:$L100000,"=gelegt",$AW11:$AW100000,1)</f>
        <v>0</v>
      </c>
      <c r="AE3" s="9">
        <f t="shared" ref="AE3:AO3" si="1">SUMIFS(AE11:AE100000,$L11:$L100000,"=gelegt",$AW11:$AW100000,1)</f>
        <v>0</v>
      </c>
      <c r="AF3" s="9">
        <f t="shared" si="1"/>
        <v>0</v>
      </c>
      <c r="AG3" s="9">
        <f t="shared" si="1"/>
        <v>0</v>
      </c>
      <c r="AH3" s="9">
        <f t="shared" si="1"/>
        <v>0</v>
      </c>
      <c r="AI3" s="9">
        <f t="shared" si="1"/>
        <v>0</v>
      </c>
      <c r="AJ3" s="9">
        <f t="shared" si="1"/>
        <v>0</v>
      </c>
      <c r="AK3" s="9">
        <f t="shared" si="1"/>
        <v>0</v>
      </c>
      <c r="AL3" s="9">
        <f t="shared" si="1"/>
        <v>0</v>
      </c>
      <c r="AM3" s="9">
        <f t="shared" si="1"/>
        <v>0</v>
      </c>
      <c r="AN3" s="9">
        <f t="shared" si="1"/>
        <v>0</v>
      </c>
      <c r="AO3" s="9">
        <f t="shared" si="1"/>
        <v>0</v>
      </c>
    </row>
    <row r="4" spans="1:50" x14ac:dyDescent="0.15">
      <c r="AC4" s="6" t="s">
        <v>22</v>
      </c>
      <c r="AD4" s="7">
        <f>SUMIFS(AD11:AD100000,$L11:$L100000,"=LOI",$AW11:$AW100000,1)</f>
        <v>0</v>
      </c>
      <c r="AE4" s="7">
        <f t="shared" ref="AE4:AO4" si="2">SUMIFS(AE11:AE100000,$L11:$L100000,"=LOI",$AW11:$AW100000,1)</f>
        <v>0</v>
      </c>
      <c r="AF4" s="7">
        <f t="shared" si="2"/>
        <v>0</v>
      </c>
      <c r="AG4" s="7">
        <f t="shared" si="2"/>
        <v>0</v>
      </c>
      <c r="AH4" s="7">
        <f t="shared" si="2"/>
        <v>0</v>
      </c>
      <c r="AI4" s="7">
        <f t="shared" si="2"/>
        <v>0</v>
      </c>
      <c r="AJ4" s="7">
        <f t="shared" si="2"/>
        <v>0</v>
      </c>
      <c r="AK4" s="7">
        <f t="shared" si="2"/>
        <v>0</v>
      </c>
      <c r="AL4" s="7">
        <f t="shared" si="2"/>
        <v>0</v>
      </c>
      <c r="AM4" s="7">
        <f t="shared" si="2"/>
        <v>0</v>
      </c>
      <c r="AN4" s="7">
        <f t="shared" si="2"/>
        <v>0</v>
      </c>
      <c r="AO4" s="7">
        <f t="shared" si="2"/>
        <v>0</v>
      </c>
    </row>
    <row r="5" spans="1:50" x14ac:dyDescent="0.15">
      <c r="AC5" s="8" t="s">
        <v>43</v>
      </c>
      <c r="AD5" s="9">
        <f>SUMIFS(AD11:AD100000,$L11:$L100000,"=in Erstellung",$AW11:$AW100000,1)</f>
        <v>0</v>
      </c>
      <c r="AE5" s="9">
        <f t="shared" ref="AE5:AO5" si="3">SUMIFS(AE11:AE100000,$L11:$L100000,"=in Erstellung",$AW11:$AW100000,1)</f>
        <v>0</v>
      </c>
      <c r="AF5" s="9">
        <f t="shared" si="3"/>
        <v>0</v>
      </c>
      <c r="AG5" s="9">
        <f t="shared" si="3"/>
        <v>0</v>
      </c>
      <c r="AH5" s="9">
        <f t="shared" si="3"/>
        <v>0</v>
      </c>
      <c r="AI5" s="9">
        <f t="shared" si="3"/>
        <v>0</v>
      </c>
      <c r="AJ5" s="9">
        <f t="shared" si="3"/>
        <v>0</v>
      </c>
      <c r="AK5" s="9">
        <f t="shared" si="3"/>
        <v>0</v>
      </c>
      <c r="AL5" s="9">
        <f t="shared" si="3"/>
        <v>0</v>
      </c>
      <c r="AM5" s="9">
        <f t="shared" si="3"/>
        <v>0</v>
      </c>
      <c r="AN5" s="9">
        <f t="shared" si="3"/>
        <v>0</v>
      </c>
      <c r="AO5" s="9">
        <f t="shared" si="3"/>
        <v>0</v>
      </c>
    </row>
    <row r="6" spans="1:50" x14ac:dyDescent="0.15">
      <c r="AC6" s="10" t="s">
        <v>23</v>
      </c>
      <c r="AD6" s="11">
        <f>SUMIFS(AD11:AD100000,$L11:$L100000,"=Potenzial",$AW11:$AW100000,1)</f>
        <v>0</v>
      </c>
      <c r="AE6" s="11">
        <f t="shared" ref="AE6:AO6" si="4">SUMIFS(AE11:AE100000,$L11:$L100000,"=Potenzial",$AW11:$AW100000,1)</f>
        <v>0</v>
      </c>
      <c r="AF6" s="11">
        <f t="shared" si="4"/>
        <v>0</v>
      </c>
      <c r="AG6" s="11">
        <f t="shared" si="4"/>
        <v>0</v>
      </c>
      <c r="AH6" s="11">
        <f t="shared" si="4"/>
        <v>0</v>
      </c>
      <c r="AI6" s="11">
        <f t="shared" si="4"/>
        <v>0</v>
      </c>
      <c r="AJ6" s="11">
        <f t="shared" si="4"/>
        <v>0</v>
      </c>
      <c r="AK6" s="11">
        <f t="shared" si="4"/>
        <v>0</v>
      </c>
      <c r="AL6" s="11">
        <f t="shared" si="4"/>
        <v>0</v>
      </c>
      <c r="AM6" s="11">
        <f t="shared" si="4"/>
        <v>0</v>
      </c>
      <c r="AN6" s="11">
        <f t="shared" si="4"/>
        <v>0</v>
      </c>
      <c r="AO6" s="11">
        <f t="shared" si="4"/>
        <v>0</v>
      </c>
    </row>
    <row r="7" spans="1:50" x14ac:dyDescent="0.15">
      <c r="AC7" s="12" t="s">
        <v>27</v>
      </c>
      <c r="AD7" s="9">
        <f t="shared" ref="AD7:AO7" si="5">SUM(AD2:AD6)</f>
        <v>0</v>
      </c>
      <c r="AE7" s="9">
        <f t="shared" si="5"/>
        <v>0</v>
      </c>
      <c r="AF7" s="9">
        <f t="shared" si="5"/>
        <v>0</v>
      </c>
      <c r="AG7" s="9">
        <f t="shared" si="5"/>
        <v>0</v>
      </c>
      <c r="AH7" s="9">
        <f t="shared" si="5"/>
        <v>0</v>
      </c>
      <c r="AI7" s="9">
        <f t="shared" si="5"/>
        <v>0</v>
      </c>
      <c r="AJ7" s="9">
        <f t="shared" si="5"/>
        <v>0</v>
      </c>
      <c r="AK7" s="9">
        <f t="shared" si="5"/>
        <v>0</v>
      </c>
      <c r="AL7" s="9">
        <f t="shared" si="5"/>
        <v>0</v>
      </c>
      <c r="AM7" s="9">
        <f t="shared" si="5"/>
        <v>0</v>
      </c>
      <c r="AN7" s="9">
        <f t="shared" si="5"/>
        <v>0</v>
      </c>
      <c r="AO7" s="9">
        <f t="shared" si="5"/>
        <v>0</v>
      </c>
    </row>
    <row r="8" spans="1:50" x14ac:dyDescent="0.15">
      <c r="AC8" s="13" t="s">
        <v>25</v>
      </c>
      <c r="AD8" s="14">
        <f>SUMIFS(Rechnungen!M:M, Rechnungen!$Z:$Z, TRUE)</f>
        <v>0</v>
      </c>
      <c r="AE8" s="14">
        <f>SUMIFS(Rechnungen!N:N, Rechnungen!$Z:$Z, TRUE)</f>
        <v>0</v>
      </c>
      <c r="AF8" s="14">
        <f>SUMIFS(Rechnungen!O:O, Rechnungen!$Z:$Z, TRUE)</f>
        <v>0</v>
      </c>
      <c r="AG8" s="14">
        <f>SUMIFS(Rechnungen!P:P, Rechnungen!$Z:$Z, TRUE)</f>
        <v>0</v>
      </c>
      <c r="AH8" s="14">
        <f>SUMIFS(Rechnungen!Q:Q, Rechnungen!$Z:$Z, TRUE)</f>
        <v>0</v>
      </c>
      <c r="AI8" s="14">
        <f>SUMIFS(Rechnungen!R:R, Rechnungen!$Z:$Z, TRUE)</f>
        <v>0</v>
      </c>
      <c r="AJ8" s="14">
        <f>SUMIFS(Rechnungen!S:S, Rechnungen!$Z:$Z, TRUE)</f>
        <v>0</v>
      </c>
      <c r="AK8" s="14">
        <f>SUMIFS(Rechnungen!T:T, Rechnungen!$Z:$Z, TRUE)</f>
        <v>0</v>
      </c>
      <c r="AL8" s="14">
        <f>SUMIFS(Rechnungen!U:U, Rechnungen!$Z:$Z, TRUE)</f>
        <v>0</v>
      </c>
      <c r="AM8" s="14">
        <f>SUMIFS(Rechnungen!V:V, Rechnungen!$Z:$Z, TRUE)</f>
        <v>0</v>
      </c>
      <c r="AN8" s="14">
        <f>SUMIFS(Rechnungen!W:W, Rechnungen!$Z:$Z, TRUE)</f>
        <v>0</v>
      </c>
      <c r="AO8" s="14">
        <f>SUMIFS(Rechnungen!X:X, Rechnungen!$Z:$Z, TRUE)</f>
        <v>0</v>
      </c>
    </row>
    <row r="9" spans="1:50" x14ac:dyDescent="0.15">
      <c r="AC9" s="15" t="s">
        <v>26</v>
      </c>
      <c r="AD9" s="16">
        <f ca="1">Planning_Data!AD7</f>
        <v>0</v>
      </c>
      <c r="AE9" s="16">
        <f ca="1">Planning_Data!AE7</f>
        <v>0</v>
      </c>
      <c r="AF9" s="16">
        <f ca="1">Planning_Data!AF7</f>
        <v>0</v>
      </c>
      <c r="AG9" s="16">
        <f ca="1">Planning_Data!AG7</f>
        <v>0</v>
      </c>
      <c r="AH9" s="16">
        <f ca="1">Planning_Data!AH7</f>
        <v>0</v>
      </c>
      <c r="AI9" s="16">
        <f ca="1">Planning_Data!AI7</f>
        <v>0</v>
      </c>
      <c r="AJ9" s="16">
        <f ca="1">Planning_Data!AJ7</f>
        <v>0</v>
      </c>
      <c r="AK9" s="16">
        <f ca="1">Planning_Data!AK7</f>
        <v>0</v>
      </c>
      <c r="AL9" s="16">
        <f ca="1">Planning_Data!AL7</f>
        <v>0</v>
      </c>
      <c r="AM9" s="16">
        <f ca="1">Planning_Data!AM7</f>
        <v>0</v>
      </c>
      <c r="AN9" s="16">
        <f ca="1">Planning_Data!AN7</f>
        <v>0</v>
      </c>
      <c r="AO9" s="16">
        <f ca="1">Planning_Data!AO7</f>
        <v>0</v>
      </c>
    </row>
    <row r="10" spans="1:50" ht="28" x14ac:dyDescent="0.15">
      <c r="A10" s="3" t="s">
        <v>0</v>
      </c>
      <c r="B10" s="3" t="s">
        <v>46</v>
      </c>
      <c r="C10" s="3" t="s">
        <v>100</v>
      </c>
      <c r="D10" s="4" t="s">
        <v>44</v>
      </c>
      <c r="E10" s="21" t="s">
        <v>3</v>
      </c>
      <c r="F10" s="21" t="s">
        <v>91</v>
      </c>
      <c r="G10" s="21" t="s">
        <v>4</v>
      </c>
      <c r="H10" s="21" t="s">
        <v>30</v>
      </c>
      <c r="I10" s="21" t="s">
        <v>5</v>
      </c>
      <c r="J10" s="21" t="s">
        <v>6</v>
      </c>
      <c r="K10" s="21" t="s">
        <v>7</v>
      </c>
      <c r="L10" s="21" t="s">
        <v>8</v>
      </c>
      <c r="M10" s="3" t="s">
        <v>9</v>
      </c>
      <c r="N10" s="5" t="s">
        <v>10</v>
      </c>
      <c r="O10" s="3" t="s">
        <v>15</v>
      </c>
      <c r="P10" s="5" t="s">
        <v>55</v>
      </c>
      <c r="Q10" s="5" t="s">
        <v>11</v>
      </c>
      <c r="R10" s="5" t="s">
        <v>56</v>
      </c>
      <c r="S10" s="5" t="s">
        <v>12</v>
      </c>
      <c r="T10" s="3" t="s">
        <v>13</v>
      </c>
      <c r="U10" s="36" t="s">
        <v>14</v>
      </c>
      <c r="V10" s="36"/>
      <c r="W10" s="3" t="s">
        <v>19</v>
      </c>
      <c r="X10" s="3" t="s">
        <v>90</v>
      </c>
      <c r="Y10" s="27" t="s">
        <v>87</v>
      </c>
      <c r="Z10" s="27" t="s">
        <v>86</v>
      </c>
      <c r="AA10" s="3" t="s">
        <v>88</v>
      </c>
      <c r="AB10" s="3" t="s">
        <v>101</v>
      </c>
      <c r="AC10" s="3"/>
      <c r="AD10" s="5" t="s">
        <v>37</v>
      </c>
      <c r="AE10" s="5" t="s">
        <v>38</v>
      </c>
      <c r="AF10" s="5" t="s">
        <v>39</v>
      </c>
      <c r="AG10" s="5" t="s">
        <v>40</v>
      </c>
      <c r="AH10" s="5" t="s">
        <v>41</v>
      </c>
      <c r="AI10" s="5" t="s">
        <v>42</v>
      </c>
      <c r="AJ10" s="5" t="s">
        <v>31</v>
      </c>
      <c r="AK10" s="5" t="s">
        <v>32</v>
      </c>
      <c r="AL10" s="5" t="s">
        <v>33</v>
      </c>
      <c r="AM10" s="5" t="s">
        <v>34</v>
      </c>
      <c r="AN10" s="5" t="s">
        <v>35</v>
      </c>
      <c r="AO10" s="5" t="s">
        <v>36</v>
      </c>
      <c r="AP10" s="22" t="s">
        <v>1</v>
      </c>
      <c r="AQ10" s="22" t="s">
        <v>2</v>
      </c>
      <c r="AR10" s="26" t="s">
        <v>54</v>
      </c>
      <c r="AS10" s="21" t="s">
        <v>16</v>
      </c>
      <c r="AT10" s="21" t="s">
        <v>17</v>
      </c>
      <c r="AU10" s="21" t="s">
        <v>18</v>
      </c>
      <c r="AV10" t="s">
        <v>97</v>
      </c>
      <c r="AW10" t="s">
        <v>96</v>
      </c>
      <c r="AX10" s="33" t="s">
        <v>98</v>
      </c>
    </row>
  </sheetData>
  <sheetProtection selectLockedCells="1" selectUnlockedCells="1"/>
  <mergeCells count="3">
    <mergeCell ref="U1:V1"/>
    <mergeCell ref="A2:B2"/>
    <mergeCell ref="U10:V10"/>
  </mergeCells>
  <pageMargins left="0.74791666666666667" right="0.74791666666666667" top="0.98402777777777772" bottom="0.98402777777777772" header="0.51180555555555551" footer="0.51180555555555551"/>
  <pageSetup paperSize="9" firstPageNumber="0" orientation="portrait" horizontalDpi="300" verticalDpi="300"/>
  <headerFooter alignWithMargins="0"/>
  <legacy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B6459B1-08CA-EA4F-869F-EEF1D58EF8E3}">
  <sheetPr>
    <pageSetUpPr fitToPage="1"/>
  </sheetPr>
  <dimension ref="A1"/>
  <sheetViews>
    <sheetView tabSelected="1" topLeftCell="A33" workbookViewId="0"/>
  </sheetViews>
  <sheetFormatPr baseColWidth="10" defaultColWidth="11" defaultRowHeight="13" x14ac:dyDescent="0.15"/>
  <cols>
    <col min="18" max="18" width="23.6640625" bestFit="1" customWidth="1"/>
  </cols>
  <sheetData/>
  <sheetProtection selectLockedCells="1" selectUnlockedCells="1"/>
  <pageMargins left="0.78740157499999996" right="0.78740157499999996" top="0.98402777777777772" bottom="0.98402777777777772" header="0.51180555555555551" footer="0.51180555555555551"/>
  <pageSetup paperSize="9" firstPageNumber="0" fitToHeight="4" orientation="landscape" horizontalDpi="300" verticalDpi="300"/>
  <headerFooter alignWithMargins="0"/>
  <drawing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pageSetUpPr fitToPage="1"/>
  </sheetPr>
  <dimension ref="A1"/>
  <sheetViews>
    <sheetView workbookViewId="0"/>
  </sheetViews>
  <sheetFormatPr baseColWidth="10" defaultColWidth="11" defaultRowHeight="13" x14ac:dyDescent="0.15"/>
  <sheetData/>
  <sheetProtection selectLockedCells="1" selectUnlockedCells="1"/>
  <pageMargins left="0.78740157499999996" right="0.78740157499999996" top="0.98402777777777772" bottom="0.98402777777777772" header="0.51180555555555551" footer="0.51180555555555551"/>
  <pageSetup paperSize="9" firstPageNumber="0" fitToHeight="4" orientation="landscape" horizontalDpi="300" verticalDpi="300"/>
  <headerFooter alignWithMargins="0"/>
  <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CAC72B2-1160-034C-812E-DF118ACD5A10}">
  <dimension ref="A1:J1"/>
  <sheetViews>
    <sheetView workbookViewId="0">
      <selection activeCell="A2" sqref="A2"/>
    </sheetView>
  </sheetViews>
  <sheetFormatPr baseColWidth="10" defaultRowHeight="13" x14ac:dyDescent="0.15"/>
  <cols>
    <col min="1" max="1" width="19.6640625" customWidth="1"/>
    <col min="2" max="2" width="29.33203125" customWidth="1"/>
    <col min="3" max="3" width="40.33203125" customWidth="1"/>
    <col min="4" max="10" width="18" customWidth="1"/>
    <col min="11" max="11" width="17.6640625" bestFit="1" customWidth="1"/>
  </cols>
  <sheetData>
    <row r="1" spans="1:10" ht="14" x14ac:dyDescent="0.15">
      <c r="A1" s="3" t="s">
        <v>100</v>
      </c>
      <c r="B1" s="4" t="s">
        <v>44</v>
      </c>
      <c r="C1" s="21" t="s">
        <v>3</v>
      </c>
      <c r="D1" s="21" t="s">
        <v>106</v>
      </c>
      <c r="E1" s="21" t="s">
        <v>105</v>
      </c>
      <c r="F1" s="21" t="s">
        <v>109</v>
      </c>
      <c r="G1" s="21" t="s">
        <v>52</v>
      </c>
      <c r="H1" s="21" t="s">
        <v>107</v>
      </c>
      <c r="I1" s="21" t="s">
        <v>102</v>
      </c>
      <c r="J1" s="21" t="s">
        <v>108</v>
      </c>
    </row>
  </sheetData>
  <autoFilter ref="A1:J1" xr:uid="{7CAC72B2-1160-034C-812E-DF118ACD5A10}"/>
  <pageMargins left="0.7" right="0.7" top="0.78740157499999996" bottom="0.78740157499999996"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M13"/>
  <sheetViews>
    <sheetView workbookViewId="0">
      <selection activeCell="A12" sqref="A12"/>
    </sheetView>
  </sheetViews>
  <sheetFormatPr baseColWidth="10" defaultColWidth="11" defaultRowHeight="13" x14ac:dyDescent="0.15"/>
  <cols>
    <col min="1" max="1" width="18.5" style="13" customWidth="1"/>
    <col min="2" max="13" width="17" customWidth="1"/>
  </cols>
  <sheetData>
    <row r="1" spans="1:13" s="13" customFormat="1" x14ac:dyDescent="0.15">
      <c r="B1" s="23" t="str">
        <f>Forecast_Data!AD1</f>
        <v>Month 1</v>
      </c>
      <c r="C1" s="23" t="str">
        <f>Forecast_Data!AE1</f>
        <v>Month 2</v>
      </c>
      <c r="D1" s="23" t="str">
        <f>Forecast_Data!AF1</f>
        <v>Month 3</v>
      </c>
      <c r="E1" s="23" t="str">
        <f>Forecast_Data!AG1</f>
        <v>Month 4</v>
      </c>
      <c r="F1" s="23" t="str">
        <f>Forecast_Data!AH1</f>
        <v>Month 5</v>
      </c>
      <c r="G1" s="23" t="str">
        <f>Forecast_Data!AI1</f>
        <v>Month 6</v>
      </c>
      <c r="H1" s="23" t="str">
        <f>Forecast_Data!AJ1</f>
        <v>Month 7</v>
      </c>
      <c r="I1" s="23" t="str">
        <f>Forecast_Data!AK1</f>
        <v>Month 8</v>
      </c>
      <c r="J1" s="23" t="str">
        <f>Forecast_Data!AL1</f>
        <v>Month 9</v>
      </c>
      <c r="K1" s="23" t="str">
        <f>Forecast_Data!AM1</f>
        <v>Month 10</v>
      </c>
      <c r="L1" s="23" t="str">
        <f>Forecast_Data!AN1</f>
        <v>Month 11</v>
      </c>
      <c r="M1" s="23" t="str">
        <f>Forecast_Data!AO1</f>
        <v>Month 12</v>
      </c>
    </row>
    <row r="2" spans="1:13" x14ac:dyDescent="0.15">
      <c r="A2" s="24" t="s">
        <v>25</v>
      </c>
      <c r="B2" s="17">
        <f>Forecast_Data!AD8</f>
        <v>0</v>
      </c>
      <c r="C2" s="17">
        <f>Forecast_Data!AE8</f>
        <v>0</v>
      </c>
      <c r="D2" s="17">
        <f>Forecast_Data!AF8</f>
        <v>0</v>
      </c>
      <c r="E2" s="17">
        <f>Forecast_Data!AG8</f>
        <v>0</v>
      </c>
      <c r="F2" s="17">
        <f>Forecast_Data!AH8</f>
        <v>0</v>
      </c>
      <c r="G2" s="17">
        <f>Forecast_Data!AI8</f>
        <v>0</v>
      </c>
      <c r="H2" s="17">
        <f>Forecast_Data!AJ8</f>
        <v>0</v>
      </c>
      <c r="I2" s="17">
        <f>Forecast_Data!AK8</f>
        <v>0</v>
      </c>
      <c r="J2" s="17">
        <f>Forecast_Data!AL8</f>
        <v>0</v>
      </c>
      <c r="K2" s="17">
        <f>Forecast_Data!AM8</f>
        <v>0</v>
      </c>
      <c r="L2" s="17">
        <f>Forecast_Data!AN8</f>
        <v>0</v>
      </c>
      <c r="M2" s="17">
        <f>Forecast_Data!AO8</f>
        <v>0</v>
      </c>
    </row>
    <row r="3" spans="1:13" x14ac:dyDescent="0.15">
      <c r="A3" s="24" t="s">
        <v>24</v>
      </c>
      <c r="B3" s="18">
        <f>Forecast_Data!AD7</f>
        <v>0</v>
      </c>
      <c r="C3" s="18">
        <f>Forecast_Data!AE7</f>
        <v>0</v>
      </c>
      <c r="D3" s="18">
        <f>Forecast_Data!AF7</f>
        <v>0</v>
      </c>
      <c r="E3" s="18">
        <f>Forecast_Data!AG7</f>
        <v>0</v>
      </c>
      <c r="F3" s="18">
        <f>Forecast_Data!AH7</f>
        <v>0</v>
      </c>
      <c r="G3" s="18">
        <f>Forecast_Data!AI7</f>
        <v>0</v>
      </c>
      <c r="H3" s="18">
        <f>Forecast_Data!AJ7</f>
        <v>0</v>
      </c>
      <c r="I3" s="18">
        <f>Forecast_Data!AK7</f>
        <v>0</v>
      </c>
      <c r="J3" s="18">
        <f>Forecast_Data!AL7</f>
        <v>0</v>
      </c>
      <c r="K3" s="18">
        <f>Forecast_Data!AM7</f>
        <v>0</v>
      </c>
      <c r="L3" s="18">
        <f>Forecast_Data!AN7</f>
        <v>0</v>
      </c>
      <c r="M3" s="18">
        <f>Forecast_Data!AO7</f>
        <v>0</v>
      </c>
    </row>
    <row r="4" spans="1:13" x14ac:dyDescent="0.15">
      <c r="A4" s="24" t="s">
        <v>27</v>
      </c>
      <c r="B4" s="18">
        <f>B2+B3</f>
        <v>0</v>
      </c>
      <c r="C4" s="18">
        <f t="shared" ref="C4:M4" si="0">C2+C3</f>
        <v>0</v>
      </c>
      <c r="D4" s="18">
        <f t="shared" si="0"/>
        <v>0</v>
      </c>
      <c r="E4" s="18">
        <f t="shared" si="0"/>
        <v>0</v>
      </c>
      <c r="F4" s="18">
        <f t="shared" si="0"/>
        <v>0</v>
      </c>
      <c r="G4" s="18">
        <f t="shared" si="0"/>
        <v>0</v>
      </c>
      <c r="H4" s="18">
        <f t="shared" si="0"/>
        <v>0</v>
      </c>
      <c r="I4" s="18">
        <f t="shared" si="0"/>
        <v>0</v>
      </c>
      <c r="J4" s="18">
        <f t="shared" si="0"/>
        <v>0</v>
      </c>
      <c r="K4" s="18">
        <f t="shared" si="0"/>
        <v>0</v>
      </c>
      <c r="L4" s="18">
        <f t="shared" si="0"/>
        <v>0</v>
      </c>
      <c r="M4" s="18">
        <f t="shared" si="0"/>
        <v>0</v>
      </c>
    </row>
    <row r="5" spans="1:13" x14ac:dyDescent="0.15">
      <c r="A5" s="13" t="s">
        <v>28</v>
      </c>
      <c r="B5" s="19">
        <f>B4</f>
        <v>0</v>
      </c>
      <c r="C5" s="19">
        <f>B5+C4</f>
        <v>0</v>
      </c>
      <c r="D5" s="19">
        <f t="shared" ref="D5:M5" si="1">C5+D4</f>
        <v>0</v>
      </c>
      <c r="E5" s="19">
        <f t="shared" si="1"/>
        <v>0</v>
      </c>
      <c r="F5" s="19">
        <f t="shared" si="1"/>
        <v>0</v>
      </c>
      <c r="G5" s="19">
        <f t="shared" si="1"/>
        <v>0</v>
      </c>
      <c r="H5" s="19">
        <f t="shared" si="1"/>
        <v>0</v>
      </c>
      <c r="I5" s="19">
        <f t="shared" si="1"/>
        <v>0</v>
      </c>
      <c r="J5" s="19">
        <f t="shared" si="1"/>
        <v>0</v>
      </c>
      <c r="K5" s="19">
        <f t="shared" si="1"/>
        <v>0</v>
      </c>
      <c r="L5" s="19">
        <f t="shared" si="1"/>
        <v>0</v>
      </c>
      <c r="M5" s="19">
        <f t="shared" si="1"/>
        <v>0</v>
      </c>
    </row>
    <row r="6" spans="1:13" x14ac:dyDescent="0.15">
      <c r="A6" s="13" t="s">
        <v>29</v>
      </c>
      <c r="B6" s="19">
        <f ca="1">Forecast_Data!AD9</f>
        <v>0</v>
      </c>
      <c r="C6" s="19">
        <f ca="1">B6+Forecast_Data!AE9</f>
        <v>0</v>
      </c>
      <c r="D6" s="19">
        <f ca="1">C6+Forecast_Data!AF9</f>
        <v>0</v>
      </c>
      <c r="E6" s="19">
        <f ca="1">D6+Forecast_Data!AG9</f>
        <v>0</v>
      </c>
      <c r="F6" s="19">
        <f ca="1">E6+Forecast_Data!AH9</f>
        <v>0</v>
      </c>
      <c r="G6" s="19">
        <f ca="1">F6+Forecast_Data!AI9</f>
        <v>0</v>
      </c>
      <c r="H6" s="19">
        <f ca="1">G6+Forecast_Data!AJ9</f>
        <v>0</v>
      </c>
      <c r="I6" s="19">
        <f ca="1">H6+Forecast_Data!AK9</f>
        <v>0</v>
      </c>
      <c r="J6" s="19">
        <f ca="1">I6+Forecast_Data!AL9</f>
        <v>0</v>
      </c>
      <c r="K6" s="19">
        <f ca="1">J6+Forecast_Data!AM9</f>
        <v>0</v>
      </c>
      <c r="L6" s="19">
        <f ca="1">K6+Forecast_Data!AN9</f>
        <v>0</v>
      </c>
      <c r="M6" s="19">
        <f ca="1">L6+Forecast_Data!AO9</f>
        <v>0</v>
      </c>
    </row>
    <row r="7" spans="1:13" x14ac:dyDescent="0.15">
      <c r="C7" s="19"/>
      <c r="D7" s="19"/>
      <c r="E7" s="19"/>
      <c r="F7" s="19"/>
      <c r="G7" s="19"/>
      <c r="H7" s="19"/>
      <c r="I7" s="19"/>
      <c r="J7" s="19"/>
      <c r="K7" s="19"/>
      <c r="L7" s="19"/>
      <c r="M7" s="19"/>
    </row>
    <row r="8" spans="1:13" x14ac:dyDescent="0.15">
      <c r="A8" s="13" t="s">
        <v>52</v>
      </c>
      <c r="B8" s="19">
        <f>SUMIFS('Rechnungen Vorjahr'!M:M, 'Rechnungen Vorjahr'!$Z:$Z, TRUE)</f>
        <v>0</v>
      </c>
      <c r="C8" s="19">
        <f>SUMIFS('Rechnungen Vorjahr'!N:N, 'Rechnungen Vorjahr'!$Z:$Z, TRUE)</f>
        <v>0</v>
      </c>
      <c r="D8" s="19">
        <f>SUMIFS('Rechnungen Vorjahr'!O:O, 'Rechnungen Vorjahr'!$Z:$Z, TRUE)</f>
        <v>0</v>
      </c>
      <c r="E8" s="19">
        <f>SUMIFS('Rechnungen Vorjahr'!P:P, 'Rechnungen Vorjahr'!$Z:$Z, TRUE)</f>
        <v>0</v>
      </c>
      <c r="F8" s="19">
        <f>SUMIFS('Rechnungen Vorjahr'!Q:Q, 'Rechnungen Vorjahr'!$Z:$Z, TRUE)</f>
        <v>0</v>
      </c>
      <c r="G8" s="19">
        <f>SUMIFS('Rechnungen Vorjahr'!R:R, 'Rechnungen Vorjahr'!$Z:$Z, TRUE)</f>
        <v>0</v>
      </c>
      <c r="H8" s="19">
        <f>SUMIFS('Rechnungen Vorjahr'!S:S, 'Rechnungen Vorjahr'!$Z:$Z, TRUE)</f>
        <v>0</v>
      </c>
      <c r="I8" s="19">
        <f>SUMIFS('Rechnungen Vorjahr'!T:T, 'Rechnungen Vorjahr'!$Z:$Z, TRUE)</f>
        <v>0</v>
      </c>
      <c r="J8" s="19">
        <f>SUMIFS('Rechnungen Vorjahr'!U:U, 'Rechnungen Vorjahr'!$Z:$Z, TRUE)</f>
        <v>0</v>
      </c>
      <c r="K8" s="19">
        <f>SUMIFS('Rechnungen Vorjahr'!V:V, 'Rechnungen Vorjahr'!$Z:$Z, TRUE)</f>
        <v>0</v>
      </c>
      <c r="L8" s="19">
        <f>SUMIFS('Rechnungen Vorjahr'!W:W, 'Rechnungen Vorjahr'!$Z:$Z, TRUE)</f>
        <v>0</v>
      </c>
      <c r="M8" s="19">
        <f>SUMIFS('Rechnungen Vorjahr'!X:X, 'Rechnungen Vorjahr'!$Z:$Z, TRUE)</f>
        <v>0</v>
      </c>
    </row>
    <row r="9" spans="1:13" x14ac:dyDescent="0.15">
      <c r="A9" s="13" t="s">
        <v>53</v>
      </c>
      <c r="B9" s="19">
        <f>B8</f>
        <v>0</v>
      </c>
      <c r="C9" s="25">
        <f>B9+C8</f>
        <v>0</v>
      </c>
      <c r="D9" s="25">
        <f t="shared" ref="D9:M9" si="2">C9+D8</f>
        <v>0</v>
      </c>
      <c r="E9" s="25">
        <f t="shared" si="2"/>
        <v>0</v>
      </c>
      <c r="F9" s="25">
        <f t="shared" si="2"/>
        <v>0</v>
      </c>
      <c r="G9" s="25">
        <f t="shared" si="2"/>
        <v>0</v>
      </c>
      <c r="H9" s="25">
        <f t="shared" si="2"/>
        <v>0</v>
      </c>
      <c r="I9" s="25">
        <f t="shared" si="2"/>
        <v>0</v>
      </c>
      <c r="J9" s="25">
        <f t="shared" si="2"/>
        <v>0</v>
      </c>
      <c r="K9" s="25">
        <f t="shared" si="2"/>
        <v>0</v>
      </c>
      <c r="L9" s="25">
        <f t="shared" si="2"/>
        <v>0</v>
      </c>
      <c r="M9" s="25">
        <f t="shared" si="2"/>
        <v>0</v>
      </c>
    </row>
    <row r="11" spans="1:13" x14ac:dyDescent="0.15">
      <c r="A11" s="13" t="s">
        <v>102</v>
      </c>
      <c r="B11">
        <f>SUMIFS('Rechnungen Vorvorjahr'!M:M, 'Rechnungen Vorvorjahr'!$Z:$Z, TRUE)</f>
        <v>0</v>
      </c>
      <c r="C11">
        <f>SUMIFS('Rechnungen Vorvorjahr'!N:N, 'Rechnungen Vorvorjahr'!$Z:$Z, TRUE)</f>
        <v>0</v>
      </c>
      <c r="D11">
        <f>SUMIFS('Rechnungen Vorvorjahr'!O:O, 'Rechnungen Vorvorjahr'!$Z:$Z, TRUE)</f>
        <v>0</v>
      </c>
      <c r="E11">
        <f>SUMIFS('Rechnungen Vorvorjahr'!P:P, 'Rechnungen Vorvorjahr'!$Z:$Z, TRUE)</f>
        <v>0</v>
      </c>
      <c r="F11">
        <f>SUMIFS('Rechnungen Vorvorjahr'!Q:Q, 'Rechnungen Vorvorjahr'!$Z:$Z, TRUE)</f>
        <v>0</v>
      </c>
      <c r="G11">
        <f>SUMIFS('Rechnungen Vorvorjahr'!R:R, 'Rechnungen Vorvorjahr'!$Z:$Z, TRUE)</f>
        <v>0</v>
      </c>
      <c r="H11">
        <f>SUMIFS('Rechnungen Vorvorjahr'!S:S, 'Rechnungen Vorvorjahr'!$Z:$Z, TRUE)</f>
        <v>0</v>
      </c>
      <c r="I11">
        <f>SUMIFS('Rechnungen Vorvorjahr'!T:T, 'Rechnungen Vorvorjahr'!$Z:$Z, TRUE)</f>
        <v>0</v>
      </c>
      <c r="J11">
        <f>SUMIFS('Rechnungen Vorvorjahr'!U:U, 'Rechnungen Vorvorjahr'!$Z:$Z, TRUE)</f>
        <v>0</v>
      </c>
      <c r="K11">
        <f>SUMIFS('Rechnungen Vorvorjahr'!V:V, 'Rechnungen Vorvorjahr'!$Z:$Z, TRUE)</f>
        <v>0</v>
      </c>
      <c r="L11">
        <f>SUMIFS('Rechnungen Vorvorjahr'!W:W, 'Rechnungen Vorvorjahr'!$Z:$Z, TRUE)</f>
        <v>0</v>
      </c>
      <c r="M11">
        <f>SUMIFS('Rechnungen Vorvorjahr'!X:X, 'Rechnungen Vorvorjahr'!$Z:$Z, TRUE)</f>
        <v>0</v>
      </c>
    </row>
    <row r="12" spans="1:13" x14ac:dyDescent="0.15">
      <c r="A12" s="13" t="s">
        <v>103</v>
      </c>
      <c r="B12" s="19">
        <f>B11</f>
        <v>0</v>
      </c>
      <c r="C12" s="25">
        <f>B12+C11</f>
        <v>0</v>
      </c>
      <c r="D12" s="25">
        <f t="shared" ref="D12:M12" si="3">C12+D11</f>
        <v>0</v>
      </c>
      <c r="E12" s="25">
        <f t="shared" si="3"/>
        <v>0</v>
      </c>
      <c r="F12" s="25">
        <f t="shared" si="3"/>
        <v>0</v>
      </c>
      <c r="G12" s="25">
        <f t="shared" si="3"/>
        <v>0</v>
      </c>
      <c r="H12" s="25">
        <f t="shared" si="3"/>
        <v>0</v>
      </c>
      <c r="I12" s="25">
        <f t="shared" si="3"/>
        <v>0</v>
      </c>
      <c r="J12" s="25">
        <f t="shared" si="3"/>
        <v>0</v>
      </c>
      <c r="K12" s="25">
        <f t="shared" si="3"/>
        <v>0</v>
      </c>
      <c r="L12" s="25">
        <f t="shared" si="3"/>
        <v>0</v>
      </c>
      <c r="M12" s="25">
        <f t="shared" si="3"/>
        <v>0</v>
      </c>
    </row>
    <row r="13" spans="1:13" x14ac:dyDescent="0.15">
      <c r="C13" s="25"/>
    </row>
  </sheetData>
  <sheetProtection selectLockedCells="1" selectUnlockedCells="1"/>
  <pageMargins left="0.74791666666666667" right="0.74791666666666667" top="0.98402777777777772" bottom="0.98402777777777772" header="0.51180555555555551" footer="0.51180555555555551"/>
  <pageSetup paperSize="9" firstPageNumber="0" orientation="portrait" horizontalDpi="300" verticalDpi="300"/>
  <headerFooter alignWithMargins="0"/>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7BFD20-C3FD-B945-8889-0EABEB8C212C}">
  <dimension ref="A1:Z1"/>
  <sheetViews>
    <sheetView workbookViewId="0">
      <pane xSplit="2" ySplit="1" topLeftCell="C2" activePane="bottomRight" state="frozen"/>
      <selection pane="topRight" activeCell="C1" sqref="C1"/>
      <selection pane="bottomLeft" activeCell="A2" sqref="A2"/>
      <selection pane="bottomRight" activeCell="C2" sqref="C2"/>
    </sheetView>
  </sheetViews>
  <sheetFormatPr baseColWidth="10" defaultRowHeight="13" x14ac:dyDescent="0.15"/>
  <cols>
    <col min="2" max="2" width="7" customWidth="1"/>
    <col min="3" max="3" width="9.83203125" customWidth="1"/>
    <col min="6" max="6" width="18.83203125" customWidth="1"/>
    <col min="7" max="7" width="20.83203125" customWidth="1"/>
    <col min="25" max="25" width="10.83203125" customWidth="1"/>
  </cols>
  <sheetData>
    <row r="1" spans="1:26" s="13" customFormat="1" ht="14" x14ac:dyDescent="0.15">
      <c r="A1" s="13" t="s">
        <v>0</v>
      </c>
      <c r="B1" s="13" t="s">
        <v>46</v>
      </c>
      <c r="C1" s="13" t="s">
        <v>47</v>
      </c>
      <c r="D1" s="13" t="s">
        <v>44</v>
      </c>
      <c r="E1" s="13" t="s">
        <v>3</v>
      </c>
      <c r="F1" s="13" t="s">
        <v>45</v>
      </c>
      <c r="G1" s="13" t="s">
        <v>51</v>
      </c>
      <c r="H1" s="13" t="s">
        <v>48</v>
      </c>
      <c r="I1" s="38" t="s">
        <v>14</v>
      </c>
      <c r="J1" s="38"/>
      <c r="K1" s="13" t="s">
        <v>50</v>
      </c>
      <c r="L1" s="13" t="s">
        <v>49</v>
      </c>
      <c r="M1" s="5" t="s">
        <v>37</v>
      </c>
      <c r="N1" s="5" t="s">
        <v>38</v>
      </c>
      <c r="O1" s="5" t="s">
        <v>39</v>
      </c>
      <c r="P1" s="5" t="s">
        <v>40</v>
      </c>
      <c r="Q1" s="5" t="s">
        <v>41</v>
      </c>
      <c r="R1" s="5" t="s">
        <v>42</v>
      </c>
      <c r="S1" s="5" t="s">
        <v>31</v>
      </c>
      <c r="T1" s="5" t="s">
        <v>32</v>
      </c>
      <c r="U1" s="5" t="s">
        <v>33</v>
      </c>
      <c r="V1" s="5" t="s">
        <v>34</v>
      </c>
      <c r="W1" s="5" t="s">
        <v>35</v>
      </c>
      <c r="X1" s="5" t="s">
        <v>36</v>
      </c>
      <c r="Y1" t="s">
        <v>97</v>
      </c>
      <c r="Z1" t="s">
        <v>96</v>
      </c>
    </row>
  </sheetData>
  <mergeCells count="1">
    <mergeCell ref="I1:J1"/>
  </mergeCells>
  <pageMargins left="0.7" right="0.7" top="0.78740157499999996" bottom="0.78740157499999996" header="0.3" footer="0.3"/>
  <pageSetup paperSize="9" orientation="portrait" horizontalDpi="0" verticalDpi="0"/>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7A8465-810E-0B43-A1C7-F27798459BF0}">
  <dimension ref="A1:Z1"/>
  <sheetViews>
    <sheetView workbookViewId="0">
      <pane xSplit="2" ySplit="1" topLeftCell="C2" activePane="bottomRight" state="frozen"/>
      <selection pane="topRight" activeCell="C1" sqref="C1"/>
      <selection pane="bottomLeft" activeCell="A2" sqref="A2"/>
      <selection pane="bottomRight" activeCell="C2" sqref="C2"/>
    </sheetView>
  </sheetViews>
  <sheetFormatPr baseColWidth="10" defaultRowHeight="13" x14ac:dyDescent="0.15"/>
  <cols>
    <col min="2" max="2" width="7" customWidth="1"/>
    <col min="3" max="3" width="10" customWidth="1"/>
    <col min="6" max="6" width="18.83203125" customWidth="1"/>
    <col min="7" max="7" width="20.83203125" customWidth="1"/>
    <col min="25" max="25" width="10.83203125" customWidth="1"/>
  </cols>
  <sheetData>
    <row r="1" spans="1:26" s="13" customFormat="1" ht="14" x14ac:dyDescent="0.15">
      <c r="A1" s="13" t="s">
        <v>0</v>
      </c>
      <c r="B1" s="13" t="s">
        <v>46</v>
      </c>
      <c r="C1" s="13" t="s">
        <v>47</v>
      </c>
      <c r="D1" s="13" t="s">
        <v>44</v>
      </c>
      <c r="E1" s="13" t="s">
        <v>3</v>
      </c>
      <c r="F1" s="13" t="s">
        <v>45</v>
      </c>
      <c r="G1" s="13" t="s">
        <v>51</v>
      </c>
      <c r="H1" s="13" t="s">
        <v>48</v>
      </c>
      <c r="I1" s="38" t="s">
        <v>14</v>
      </c>
      <c r="J1" s="38"/>
      <c r="K1" s="13" t="s">
        <v>50</v>
      </c>
      <c r="L1" s="13" t="s">
        <v>49</v>
      </c>
      <c r="M1" s="5" t="s">
        <v>37</v>
      </c>
      <c r="N1" s="5" t="s">
        <v>38</v>
      </c>
      <c r="O1" s="5" t="s">
        <v>39</v>
      </c>
      <c r="P1" s="5" t="s">
        <v>40</v>
      </c>
      <c r="Q1" s="5" t="s">
        <v>41</v>
      </c>
      <c r="R1" s="5" t="s">
        <v>42</v>
      </c>
      <c r="S1" s="5" t="s">
        <v>31</v>
      </c>
      <c r="T1" s="5" t="s">
        <v>32</v>
      </c>
      <c r="U1" s="5" t="s">
        <v>33</v>
      </c>
      <c r="V1" s="5" t="s">
        <v>34</v>
      </c>
      <c r="W1" s="5" t="s">
        <v>35</v>
      </c>
      <c r="X1" s="5" t="s">
        <v>36</v>
      </c>
      <c r="Y1" t="s">
        <v>97</v>
      </c>
      <c r="Z1" t="s">
        <v>96</v>
      </c>
    </row>
  </sheetData>
  <mergeCells count="1">
    <mergeCell ref="I1:J1"/>
  </mergeCells>
  <pageMargins left="0.7" right="0.7" top="0.78740157499999996" bottom="0.78740157499999996"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8899C5F-FA60-E046-8215-5364C559BAC2}">
  <dimension ref="A1:Z1"/>
  <sheetViews>
    <sheetView workbookViewId="0">
      <pane xSplit="2" ySplit="1" topLeftCell="C2" activePane="bottomRight" state="frozen"/>
      <selection pane="topRight" activeCell="C1" sqref="C1"/>
      <selection pane="bottomLeft" activeCell="A2" sqref="A2"/>
      <selection pane="bottomRight" activeCell="C2" sqref="C2"/>
    </sheetView>
  </sheetViews>
  <sheetFormatPr baseColWidth="10" defaultRowHeight="13" x14ac:dyDescent="0.15"/>
  <cols>
    <col min="2" max="2" width="7" customWidth="1"/>
    <col min="3" max="3" width="10" customWidth="1"/>
    <col min="6" max="6" width="18.83203125" customWidth="1"/>
    <col min="7" max="7" width="20.83203125" customWidth="1"/>
    <col min="25" max="25" width="10.83203125" customWidth="1"/>
  </cols>
  <sheetData>
    <row r="1" spans="1:26" s="13" customFormat="1" ht="14" x14ac:dyDescent="0.15">
      <c r="A1" s="13" t="s">
        <v>0</v>
      </c>
      <c r="B1" s="13" t="s">
        <v>46</v>
      </c>
      <c r="C1" s="13" t="s">
        <v>47</v>
      </c>
      <c r="D1" s="13" t="s">
        <v>44</v>
      </c>
      <c r="E1" s="13" t="s">
        <v>3</v>
      </c>
      <c r="F1" s="13" t="s">
        <v>45</v>
      </c>
      <c r="G1" s="13" t="s">
        <v>51</v>
      </c>
      <c r="H1" s="13" t="s">
        <v>48</v>
      </c>
      <c r="I1" s="38" t="s">
        <v>14</v>
      </c>
      <c r="J1" s="38"/>
      <c r="K1" s="13" t="s">
        <v>50</v>
      </c>
      <c r="L1" s="13" t="s">
        <v>49</v>
      </c>
      <c r="M1" s="5" t="s">
        <v>37</v>
      </c>
      <c r="N1" s="5" t="s">
        <v>38</v>
      </c>
      <c r="O1" s="5" t="s">
        <v>39</v>
      </c>
      <c r="P1" s="5" t="s">
        <v>40</v>
      </c>
      <c r="Q1" s="5" t="s">
        <v>41</v>
      </c>
      <c r="R1" s="5" t="s">
        <v>42</v>
      </c>
      <c r="S1" s="5" t="s">
        <v>31</v>
      </c>
      <c r="T1" s="5" t="s">
        <v>32</v>
      </c>
      <c r="U1" s="5" t="s">
        <v>33</v>
      </c>
      <c r="V1" s="5" t="s">
        <v>34</v>
      </c>
      <c r="W1" s="5" t="s">
        <v>35</v>
      </c>
      <c r="X1" s="5" t="s">
        <v>36</v>
      </c>
      <c r="Y1" t="s">
        <v>97</v>
      </c>
      <c r="Z1" t="s">
        <v>96</v>
      </c>
    </row>
  </sheetData>
  <mergeCells count="1">
    <mergeCell ref="I1:J1"/>
  </mergeCells>
  <pageMargins left="0.7" right="0.7" top="0.78740157499999996" bottom="0.78740157499999996" header="0.3" footer="0.3"/>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6AD000D-C6FB-164B-AFB3-9CB348DD95B6}">
  <dimension ref="A1:AX10"/>
  <sheetViews>
    <sheetView workbookViewId="0">
      <pane xSplit="5" ySplit="10" topLeftCell="V11" activePane="bottomRight" state="frozen"/>
      <selection pane="topRight" activeCell="D1" sqref="D1"/>
      <selection pane="bottomLeft" activeCell="A11" sqref="A11"/>
      <selection pane="bottomRight" activeCell="AA11" sqref="AA11"/>
    </sheetView>
  </sheetViews>
  <sheetFormatPr baseColWidth="10" defaultColWidth="8.6640625" defaultRowHeight="13" x14ac:dyDescent="0.15"/>
  <cols>
    <col min="1" max="1" width="7.83203125" customWidth="1"/>
    <col min="2" max="2" width="6.33203125" customWidth="1"/>
    <col min="3" max="3" width="13.1640625" customWidth="1"/>
    <col min="4" max="4" width="18" style="1" customWidth="1"/>
    <col min="5" max="5" width="23.83203125" customWidth="1"/>
    <col min="6" max="6" width="16.6640625" customWidth="1"/>
    <col min="7" max="8" width="31.1640625" customWidth="1"/>
    <col min="9" max="12" width="11.5" customWidth="1"/>
    <col min="13" max="13" width="8.33203125" customWidth="1"/>
    <col min="14" max="14" width="12.5" style="2" customWidth="1"/>
    <col min="15" max="15" width="11.5" customWidth="1"/>
    <col min="16" max="16" width="13.6640625" style="2" customWidth="1"/>
    <col min="17" max="19" width="11.5" style="2" customWidth="1"/>
    <col min="20" max="20" width="11.5" style="20" customWidth="1"/>
    <col min="21" max="22" width="11.5" style="1" customWidth="1"/>
    <col min="23" max="23" width="8" customWidth="1"/>
    <col min="24" max="24" width="8.33203125" customWidth="1"/>
    <col min="25" max="25" width="13.33203125" style="25" customWidth="1"/>
    <col min="26" max="27" width="13.1640625" style="25" customWidth="1"/>
    <col min="28" max="28" width="0.6640625" style="25" customWidth="1"/>
    <col min="29" max="29" width="12" bestFit="1" customWidth="1"/>
    <col min="30" max="41" width="12.83203125" style="2" customWidth="1"/>
    <col min="42" max="43" width="19" style="1" customWidth="1"/>
    <col min="44" max="44" width="52.83203125" customWidth="1"/>
    <col min="45" max="45" width="16.5" customWidth="1"/>
    <col min="46" max="46" width="29.5" customWidth="1"/>
    <col min="47" max="47" width="65.6640625" customWidth="1"/>
    <col min="48" max="48" width="9.6640625" customWidth="1"/>
    <col min="49" max="49" width="8.33203125" customWidth="1"/>
    <col min="50" max="50" width="7" bestFit="1" customWidth="1"/>
  </cols>
  <sheetData>
    <row r="1" spans="1:50" ht="28" x14ac:dyDescent="0.15">
      <c r="A1" s="3" t="s">
        <v>0</v>
      </c>
      <c r="B1" s="3" t="s">
        <v>46</v>
      </c>
      <c r="C1" s="3" t="s">
        <v>100</v>
      </c>
      <c r="D1" s="4" t="s">
        <v>44</v>
      </c>
      <c r="E1" s="21" t="s">
        <v>3</v>
      </c>
      <c r="F1" s="21" t="s">
        <v>91</v>
      </c>
      <c r="G1" s="21" t="s">
        <v>4</v>
      </c>
      <c r="H1" s="21" t="s">
        <v>30</v>
      </c>
      <c r="I1" s="21" t="s">
        <v>5</v>
      </c>
      <c r="J1" s="21" t="s">
        <v>6</v>
      </c>
      <c r="K1" s="21" t="s">
        <v>7</v>
      </c>
      <c r="L1" s="21" t="s">
        <v>8</v>
      </c>
      <c r="M1" s="3" t="s">
        <v>9</v>
      </c>
      <c r="N1" s="5" t="s">
        <v>10</v>
      </c>
      <c r="O1" s="3" t="s">
        <v>15</v>
      </c>
      <c r="P1" s="5" t="s">
        <v>55</v>
      </c>
      <c r="Q1" s="5" t="s">
        <v>11</v>
      </c>
      <c r="R1" s="5" t="s">
        <v>56</v>
      </c>
      <c r="S1" s="5" t="s">
        <v>12</v>
      </c>
      <c r="T1" s="3" t="s">
        <v>13</v>
      </c>
      <c r="U1" s="39" t="s">
        <v>14</v>
      </c>
      <c r="V1" s="40"/>
      <c r="W1" s="3" t="s">
        <v>19</v>
      </c>
      <c r="X1" s="3" t="s">
        <v>90</v>
      </c>
      <c r="Y1" s="27" t="s">
        <v>87</v>
      </c>
      <c r="Z1" s="27" t="s">
        <v>86</v>
      </c>
      <c r="AA1" s="3" t="s">
        <v>88</v>
      </c>
      <c r="AB1" s="3"/>
      <c r="AC1" s="3"/>
      <c r="AD1" s="5" t="s">
        <v>37</v>
      </c>
      <c r="AE1" s="5" t="s">
        <v>38</v>
      </c>
      <c r="AF1" s="5" t="s">
        <v>39</v>
      </c>
      <c r="AG1" s="5" t="s">
        <v>40</v>
      </c>
      <c r="AH1" s="5" t="s">
        <v>41</v>
      </c>
      <c r="AI1" s="5" t="s">
        <v>42</v>
      </c>
      <c r="AJ1" s="5" t="s">
        <v>31</v>
      </c>
      <c r="AK1" s="5" t="s">
        <v>32</v>
      </c>
      <c r="AL1" s="5" t="s">
        <v>33</v>
      </c>
      <c r="AM1" s="5" t="s">
        <v>34</v>
      </c>
      <c r="AN1" s="5" t="s">
        <v>35</v>
      </c>
      <c r="AO1" s="5" t="s">
        <v>36</v>
      </c>
      <c r="AP1" s="22" t="s">
        <v>1</v>
      </c>
      <c r="AQ1" s="22" t="s">
        <v>2</v>
      </c>
      <c r="AR1" s="26" t="s">
        <v>54</v>
      </c>
      <c r="AS1" s="21" t="s">
        <v>16</v>
      </c>
      <c r="AT1" s="21" t="s">
        <v>17</v>
      </c>
      <c r="AU1" s="21" t="s">
        <v>18</v>
      </c>
      <c r="AV1" t="s">
        <v>97</v>
      </c>
      <c r="AW1" t="s">
        <v>96</v>
      </c>
      <c r="AX1" s="33" t="s">
        <v>99</v>
      </c>
    </row>
    <row r="2" spans="1:50" ht="20" x14ac:dyDescent="0.15">
      <c r="A2" s="37" t="s">
        <v>95</v>
      </c>
      <c r="B2" s="37"/>
      <c r="C2" s="34"/>
      <c r="AC2" s="6" t="s">
        <v>20</v>
      </c>
      <c r="AD2" s="7">
        <f t="shared" ref="AD2:AO2" ca="1" si="0">SUMIFS(AD11:AD100000,$L11:$L100000,"=beauftragt",$AW11:$AW100000, TRUE)</f>
        <v>0</v>
      </c>
      <c r="AE2" s="7">
        <f t="shared" ca="1" si="0"/>
        <v>0</v>
      </c>
      <c r="AF2" s="7">
        <f t="shared" ca="1" si="0"/>
        <v>0</v>
      </c>
      <c r="AG2" s="7">
        <f t="shared" ca="1" si="0"/>
        <v>0</v>
      </c>
      <c r="AH2" s="7">
        <f t="shared" ca="1" si="0"/>
        <v>0</v>
      </c>
      <c r="AI2" s="7">
        <f t="shared" ca="1" si="0"/>
        <v>0</v>
      </c>
      <c r="AJ2" s="7">
        <f t="shared" ca="1" si="0"/>
        <v>0</v>
      </c>
      <c r="AK2" s="7">
        <f t="shared" ca="1" si="0"/>
        <v>0</v>
      </c>
      <c r="AL2" s="7">
        <f t="shared" ca="1" si="0"/>
        <v>0</v>
      </c>
      <c r="AM2" s="7">
        <f t="shared" ca="1" si="0"/>
        <v>0</v>
      </c>
      <c r="AN2" s="7">
        <f t="shared" ca="1" si="0"/>
        <v>0</v>
      </c>
      <c r="AO2" s="7">
        <f t="shared" ca="1" si="0"/>
        <v>0</v>
      </c>
    </row>
    <row r="3" spans="1:50" x14ac:dyDescent="0.15">
      <c r="AC3" s="8" t="s">
        <v>21</v>
      </c>
      <c r="AD3" s="9">
        <f t="shared" ref="AD3:AO3" ca="1" si="1">SUMIFS(AD11:AD100000,$L11:$L100000,"=gelegt",$AW11:$AW100000, TRUE)</f>
        <v>0</v>
      </c>
      <c r="AE3" s="9">
        <f t="shared" ca="1" si="1"/>
        <v>0</v>
      </c>
      <c r="AF3" s="9">
        <f t="shared" ca="1" si="1"/>
        <v>0</v>
      </c>
      <c r="AG3" s="9">
        <f t="shared" ca="1" si="1"/>
        <v>0</v>
      </c>
      <c r="AH3" s="9">
        <f t="shared" ca="1" si="1"/>
        <v>0</v>
      </c>
      <c r="AI3" s="9">
        <f t="shared" ca="1" si="1"/>
        <v>0</v>
      </c>
      <c r="AJ3" s="9">
        <f t="shared" ca="1" si="1"/>
        <v>0</v>
      </c>
      <c r="AK3" s="9">
        <f t="shared" ca="1" si="1"/>
        <v>0</v>
      </c>
      <c r="AL3" s="9">
        <f t="shared" ca="1" si="1"/>
        <v>0</v>
      </c>
      <c r="AM3" s="9">
        <f t="shared" ca="1" si="1"/>
        <v>0</v>
      </c>
      <c r="AN3" s="9">
        <f t="shared" ca="1" si="1"/>
        <v>0</v>
      </c>
      <c r="AO3" s="9">
        <f t="shared" ca="1" si="1"/>
        <v>0</v>
      </c>
    </row>
    <row r="4" spans="1:50" x14ac:dyDescent="0.15">
      <c r="AC4" s="6" t="s">
        <v>22</v>
      </c>
      <c r="AD4" s="7">
        <f t="shared" ref="AD4:AO4" ca="1" si="2">SUMIFS(AD11:AD100000,$L11:$L100000,"=LOI",$AW11:$AW100000, TRUE)</f>
        <v>0</v>
      </c>
      <c r="AE4" s="7">
        <f t="shared" ca="1" si="2"/>
        <v>0</v>
      </c>
      <c r="AF4" s="7">
        <f t="shared" ca="1" si="2"/>
        <v>0</v>
      </c>
      <c r="AG4" s="7">
        <f t="shared" ca="1" si="2"/>
        <v>0</v>
      </c>
      <c r="AH4" s="7">
        <f t="shared" ca="1" si="2"/>
        <v>0</v>
      </c>
      <c r="AI4" s="7">
        <f t="shared" ca="1" si="2"/>
        <v>0</v>
      </c>
      <c r="AJ4" s="7">
        <f t="shared" ca="1" si="2"/>
        <v>0</v>
      </c>
      <c r="AK4" s="7">
        <f t="shared" ca="1" si="2"/>
        <v>0</v>
      </c>
      <c r="AL4" s="7">
        <f t="shared" ca="1" si="2"/>
        <v>0</v>
      </c>
      <c r="AM4" s="7">
        <f t="shared" ca="1" si="2"/>
        <v>0</v>
      </c>
      <c r="AN4" s="7">
        <f t="shared" ca="1" si="2"/>
        <v>0</v>
      </c>
      <c r="AO4" s="7">
        <f t="shared" ca="1" si="2"/>
        <v>0</v>
      </c>
    </row>
    <row r="5" spans="1:50" x14ac:dyDescent="0.15">
      <c r="AC5" s="8" t="s">
        <v>43</v>
      </c>
      <c r="AD5" s="9">
        <f t="shared" ref="AD5:AO5" ca="1" si="3">SUMIFS(AD11:AD100000,$L11:$L100000,"=in Erstellung",$AW11:$AW100000, TRUE)</f>
        <v>0</v>
      </c>
      <c r="AE5" s="9">
        <f t="shared" ca="1" si="3"/>
        <v>0</v>
      </c>
      <c r="AF5" s="9">
        <f t="shared" ca="1" si="3"/>
        <v>0</v>
      </c>
      <c r="AG5" s="9">
        <f t="shared" ca="1" si="3"/>
        <v>0</v>
      </c>
      <c r="AH5" s="9">
        <f t="shared" ca="1" si="3"/>
        <v>0</v>
      </c>
      <c r="AI5" s="9">
        <f t="shared" ca="1" si="3"/>
        <v>0</v>
      </c>
      <c r="AJ5" s="9">
        <f t="shared" ca="1" si="3"/>
        <v>0</v>
      </c>
      <c r="AK5" s="9">
        <f t="shared" ca="1" si="3"/>
        <v>0</v>
      </c>
      <c r="AL5" s="9">
        <f t="shared" ca="1" si="3"/>
        <v>0</v>
      </c>
      <c r="AM5" s="9">
        <f t="shared" ca="1" si="3"/>
        <v>0</v>
      </c>
      <c r="AN5" s="9">
        <f t="shared" ca="1" si="3"/>
        <v>0</v>
      </c>
      <c r="AO5" s="9">
        <f t="shared" ca="1" si="3"/>
        <v>0</v>
      </c>
    </row>
    <row r="6" spans="1:50" x14ac:dyDescent="0.15">
      <c r="AC6" s="10" t="s">
        <v>23</v>
      </c>
      <c r="AD6" s="11">
        <f t="shared" ref="AD6:AO6" ca="1" si="4">SUMIFS(AD11:AD100000,$L11:$L100000,"=Potenzial",$AW11:$AW100000, TRUE)</f>
        <v>0</v>
      </c>
      <c r="AE6" s="11">
        <f t="shared" ca="1" si="4"/>
        <v>0</v>
      </c>
      <c r="AF6" s="11">
        <f t="shared" ca="1" si="4"/>
        <v>0</v>
      </c>
      <c r="AG6" s="11">
        <f t="shared" ca="1" si="4"/>
        <v>0</v>
      </c>
      <c r="AH6" s="11">
        <f t="shared" ca="1" si="4"/>
        <v>0</v>
      </c>
      <c r="AI6" s="11">
        <f t="shared" ca="1" si="4"/>
        <v>0</v>
      </c>
      <c r="AJ6" s="11">
        <f t="shared" ca="1" si="4"/>
        <v>0</v>
      </c>
      <c r="AK6" s="11">
        <f t="shared" ca="1" si="4"/>
        <v>0</v>
      </c>
      <c r="AL6" s="11">
        <f t="shared" ca="1" si="4"/>
        <v>0</v>
      </c>
      <c r="AM6" s="11">
        <f t="shared" ca="1" si="4"/>
        <v>0</v>
      </c>
      <c r="AN6" s="11">
        <f t="shared" ca="1" si="4"/>
        <v>0</v>
      </c>
      <c r="AO6" s="11">
        <f t="shared" ca="1" si="4"/>
        <v>0</v>
      </c>
    </row>
    <row r="7" spans="1:50" x14ac:dyDescent="0.15">
      <c r="AC7" s="15" t="s">
        <v>27</v>
      </c>
      <c r="AD7" s="16">
        <f ca="1">SUM(AD2:AD6)+AD8</f>
        <v>0</v>
      </c>
      <c r="AE7" s="16">
        <f t="shared" ref="AE7:AO7" ca="1" si="5">SUM(AE2:AE6)+AE8</f>
        <v>0</v>
      </c>
      <c r="AF7" s="16">
        <f t="shared" ca="1" si="5"/>
        <v>0</v>
      </c>
      <c r="AG7" s="16">
        <f t="shared" ca="1" si="5"/>
        <v>0</v>
      </c>
      <c r="AH7" s="16">
        <f t="shared" ca="1" si="5"/>
        <v>0</v>
      </c>
      <c r="AI7" s="16">
        <f t="shared" ca="1" si="5"/>
        <v>0</v>
      </c>
      <c r="AJ7" s="16">
        <f t="shared" ca="1" si="5"/>
        <v>0</v>
      </c>
      <c r="AK7" s="16">
        <f t="shared" ca="1" si="5"/>
        <v>0</v>
      </c>
      <c r="AL7" s="16">
        <f t="shared" ca="1" si="5"/>
        <v>0</v>
      </c>
      <c r="AM7" s="16">
        <f t="shared" ca="1" si="5"/>
        <v>0</v>
      </c>
      <c r="AN7" s="16">
        <f t="shared" ca="1" si="5"/>
        <v>0</v>
      </c>
      <c r="AO7" s="16">
        <f t="shared" ca="1" si="5"/>
        <v>0</v>
      </c>
    </row>
    <row r="8" spans="1:50" x14ac:dyDescent="0.15">
      <c r="AC8" s="13" t="s">
        <v>25</v>
      </c>
      <c r="AD8" s="14">
        <f>SUMIFS(Planning_Invoices!M:M, Planning_Invoices!$Z:$Z, TRUE)</f>
        <v>0</v>
      </c>
      <c r="AE8" s="14">
        <f>SUMIFS(Planning_Invoices!N:N, Planning_Invoices!$Z:$Z, TRUE)</f>
        <v>0</v>
      </c>
      <c r="AF8" s="14">
        <f>SUMIFS(Planning_Invoices!O:O, Planning_Invoices!$Z:$Z, TRUE)</f>
        <v>0</v>
      </c>
      <c r="AG8" s="14">
        <f>SUMIFS(Planning_Invoices!P:P, Planning_Invoices!$Z:$Z, TRUE)</f>
        <v>0</v>
      </c>
      <c r="AH8" s="14">
        <f>SUMIFS(Planning_Invoices!Q:Q, Planning_Invoices!$Z:$Z, TRUE)</f>
        <v>0</v>
      </c>
      <c r="AI8" s="14">
        <f>SUMIFS(Planning_Invoices!R:R, Planning_Invoices!$Z:$Z, TRUE)</f>
        <v>0</v>
      </c>
      <c r="AJ8" s="14">
        <f>SUMIFS(Planning_Invoices!S:S, Planning_Invoices!$Z:$Z, TRUE)</f>
        <v>0</v>
      </c>
      <c r="AK8" s="14">
        <f>SUMIFS(Planning_Invoices!T:T, Planning_Invoices!$Z:$Z, TRUE)</f>
        <v>0</v>
      </c>
      <c r="AL8" s="14">
        <f>SUMIFS(Planning_Invoices!U:U, Planning_Invoices!$Z:$Z, TRUE)</f>
        <v>0</v>
      </c>
      <c r="AM8" s="14">
        <f>SUMIFS(Planning_Invoices!V:V, Planning_Invoices!$Z:$Z, TRUE)</f>
        <v>0</v>
      </c>
      <c r="AN8" s="14">
        <f>SUMIFS(Planning_Invoices!W:W, Planning_Invoices!$Z:$Z, TRUE)</f>
        <v>0</v>
      </c>
      <c r="AO8" s="14">
        <f>SUMIFS(Planning_Invoices!X:X, Planning_Invoices!$Z:$Z, TRUE)</f>
        <v>0</v>
      </c>
    </row>
    <row r="9" spans="1:50" x14ac:dyDescent="0.15">
      <c r="AC9" s="29"/>
    </row>
    <row r="10" spans="1:50" ht="28" x14ac:dyDescent="0.15">
      <c r="A10" s="3" t="s">
        <v>0</v>
      </c>
      <c r="B10" s="3" t="s">
        <v>46</v>
      </c>
      <c r="C10" s="3" t="s">
        <v>100</v>
      </c>
      <c r="D10" s="4" t="s">
        <v>44</v>
      </c>
      <c r="E10" s="21" t="s">
        <v>3</v>
      </c>
      <c r="F10" s="21" t="s">
        <v>91</v>
      </c>
      <c r="G10" s="21" t="s">
        <v>4</v>
      </c>
      <c r="H10" s="21" t="s">
        <v>30</v>
      </c>
      <c r="I10" s="21" t="s">
        <v>5</v>
      </c>
      <c r="J10" s="21" t="s">
        <v>6</v>
      </c>
      <c r="K10" s="21" t="s">
        <v>7</v>
      </c>
      <c r="L10" s="21" t="s">
        <v>8</v>
      </c>
      <c r="M10" s="3" t="s">
        <v>9</v>
      </c>
      <c r="N10" s="5" t="s">
        <v>10</v>
      </c>
      <c r="O10" s="3" t="s">
        <v>15</v>
      </c>
      <c r="P10" s="5" t="s">
        <v>55</v>
      </c>
      <c r="Q10" s="5" t="s">
        <v>11</v>
      </c>
      <c r="R10" s="5" t="s">
        <v>56</v>
      </c>
      <c r="S10" s="5" t="s">
        <v>12</v>
      </c>
      <c r="T10" s="3" t="s">
        <v>13</v>
      </c>
      <c r="U10" s="36" t="s">
        <v>14</v>
      </c>
      <c r="V10" s="36"/>
      <c r="W10" s="3" t="s">
        <v>19</v>
      </c>
      <c r="X10" s="3" t="s">
        <v>90</v>
      </c>
      <c r="Y10" s="27" t="s">
        <v>87</v>
      </c>
      <c r="Z10" s="27" t="s">
        <v>86</v>
      </c>
      <c r="AA10" s="3" t="s">
        <v>88</v>
      </c>
      <c r="AB10" s="3"/>
      <c r="AC10" s="3"/>
      <c r="AD10" s="5" t="s">
        <v>37</v>
      </c>
      <c r="AE10" s="5" t="s">
        <v>38</v>
      </c>
      <c r="AF10" s="5" t="s">
        <v>39</v>
      </c>
      <c r="AG10" s="5" t="s">
        <v>40</v>
      </c>
      <c r="AH10" s="5" t="s">
        <v>41</v>
      </c>
      <c r="AI10" s="5" t="s">
        <v>42</v>
      </c>
      <c r="AJ10" s="5" t="s">
        <v>31</v>
      </c>
      <c r="AK10" s="5" t="s">
        <v>32</v>
      </c>
      <c r="AL10" s="5" t="s">
        <v>33</v>
      </c>
      <c r="AM10" s="5" t="s">
        <v>34</v>
      </c>
      <c r="AN10" s="5" t="s">
        <v>35</v>
      </c>
      <c r="AO10" s="5" t="s">
        <v>36</v>
      </c>
      <c r="AP10" s="22" t="s">
        <v>1</v>
      </c>
      <c r="AQ10" s="22" t="s">
        <v>2</v>
      </c>
      <c r="AR10" s="26" t="s">
        <v>54</v>
      </c>
      <c r="AS10" s="21" t="s">
        <v>16</v>
      </c>
      <c r="AT10" s="21" t="s">
        <v>17</v>
      </c>
      <c r="AU10" s="21" t="s">
        <v>18</v>
      </c>
      <c r="AV10" t="s">
        <v>97</v>
      </c>
      <c r="AW10" t="s">
        <v>96</v>
      </c>
    </row>
  </sheetData>
  <sheetProtection selectLockedCells="1" selectUnlockedCells="1"/>
  <mergeCells count="3">
    <mergeCell ref="U1:V1"/>
    <mergeCell ref="A2:B2"/>
    <mergeCell ref="U10:V10"/>
  </mergeCells>
  <pageMargins left="0.74791666666666667" right="0.74791666666666667" top="0.98402777777777772" bottom="0.98402777777777772" header="0.51180555555555551" footer="0.51180555555555551"/>
  <pageSetup paperSize="9" firstPageNumber="0" orientation="portrait" horizontalDpi="300" verticalDpi="300"/>
  <headerFooter alignWithMargins="0"/>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BCC10A8-3156-B545-A437-09CFA0CFA594}">
  <dimension ref="A1:Z1"/>
  <sheetViews>
    <sheetView workbookViewId="0">
      <pane xSplit="2" ySplit="1" topLeftCell="C2" activePane="bottomRight" state="frozen"/>
      <selection pane="topRight" activeCell="C1" sqref="C1"/>
      <selection pane="bottomLeft" activeCell="A2" sqref="A2"/>
      <selection pane="bottomRight" activeCell="C2" sqref="C2"/>
    </sheetView>
  </sheetViews>
  <sheetFormatPr baseColWidth="10" defaultRowHeight="13" x14ac:dyDescent="0.15"/>
  <cols>
    <col min="2" max="2" width="7" customWidth="1"/>
    <col min="3" max="3" width="9.83203125" customWidth="1"/>
    <col min="6" max="6" width="18.83203125" customWidth="1"/>
    <col min="7" max="7" width="20.83203125" customWidth="1"/>
    <col min="25" max="25" width="10.83203125" customWidth="1"/>
  </cols>
  <sheetData>
    <row r="1" spans="1:26" s="13" customFormat="1" ht="14" x14ac:dyDescent="0.15">
      <c r="A1" s="13" t="s">
        <v>0</v>
      </c>
      <c r="B1" s="13" t="s">
        <v>46</v>
      </c>
      <c r="C1" s="13" t="s">
        <v>47</v>
      </c>
      <c r="D1" s="13" t="s">
        <v>44</v>
      </c>
      <c r="E1" s="13" t="s">
        <v>3</v>
      </c>
      <c r="F1" s="13" t="s">
        <v>45</v>
      </c>
      <c r="G1" s="13" t="s">
        <v>51</v>
      </c>
      <c r="H1" s="13" t="s">
        <v>48</v>
      </c>
      <c r="I1" s="38" t="s">
        <v>14</v>
      </c>
      <c r="J1" s="38"/>
      <c r="K1" s="13" t="s">
        <v>50</v>
      </c>
      <c r="L1" s="13" t="s">
        <v>49</v>
      </c>
      <c r="M1" s="5" t="s">
        <v>37</v>
      </c>
      <c r="N1" s="5" t="s">
        <v>38</v>
      </c>
      <c r="O1" s="5" t="s">
        <v>39</v>
      </c>
      <c r="P1" s="5" t="s">
        <v>40</v>
      </c>
      <c r="Q1" s="5" t="s">
        <v>41</v>
      </c>
      <c r="R1" s="5" t="s">
        <v>42</v>
      </c>
      <c r="S1" s="5" t="s">
        <v>31</v>
      </c>
      <c r="T1" s="5" t="s">
        <v>32</v>
      </c>
      <c r="U1" s="5" t="s">
        <v>33</v>
      </c>
      <c r="V1" s="5" t="s">
        <v>34</v>
      </c>
      <c r="W1" s="5" t="s">
        <v>35</v>
      </c>
      <c r="X1" s="5" t="s">
        <v>36</v>
      </c>
      <c r="Y1" t="s">
        <v>97</v>
      </c>
      <c r="Z1" t="s">
        <v>96</v>
      </c>
    </row>
  </sheetData>
  <mergeCells count="1">
    <mergeCell ref="I1:J1"/>
  </mergeCells>
  <pageMargins left="0.7" right="0.7" top="0.78740157499999996" bottom="0.78740157499999996" header="0.3" footer="0.3"/>
  <pageSetup paperSize="9" orientation="portrait" horizontalDpi="0" verticalDpi="0"/>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B315FBD-69C9-F248-8D6C-0E7BAAF44D90}">
  <dimension ref="A1:E41"/>
  <sheetViews>
    <sheetView zoomScaleNormal="100" workbookViewId="0">
      <selection activeCell="A4" sqref="A4"/>
    </sheetView>
  </sheetViews>
  <sheetFormatPr baseColWidth="10" defaultRowHeight="13" x14ac:dyDescent="0.15"/>
  <cols>
    <col min="1" max="1" width="20.5" customWidth="1"/>
    <col min="2" max="2" width="35.6640625" bestFit="1" customWidth="1"/>
    <col min="3" max="3" width="39.6640625" bestFit="1" customWidth="1"/>
  </cols>
  <sheetData>
    <row r="1" spans="1:5" x14ac:dyDescent="0.15">
      <c r="A1" t="s">
        <v>72</v>
      </c>
      <c r="B1" s="30"/>
    </row>
    <row r="2" spans="1:5" x14ac:dyDescent="0.15">
      <c r="A2" t="s">
        <v>89</v>
      </c>
      <c r="B2" s="30"/>
    </row>
    <row r="3" spans="1:5" ht="23" x14ac:dyDescent="0.15">
      <c r="A3" s="32" t="s">
        <v>85</v>
      </c>
      <c r="B3" s="31"/>
    </row>
    <row r="4" spans="1:5" ht="52" customHeight="1" x14ac:dyDescent="0.15">
      <c r="A4" s="35" t="s">
        <v>104</v>
      </c>
      <c r="B4" s="41"/>
      <c r="C4" s="41"/>
      <c r="D4" s="41"/>
    </row>
    <row r="5" spans="1:5" ht="41" customHeight="1" x14ac:dyDescent="0.15">
      <c r="A5" s="42" t="s">
        <v>94</v>
      </c>
      <c r="B5" s="43"/>
      <c r="C5" s="43"/>
      <c r="D5" s="43"/>
    </row>
    <row r="6" spans="1:5" ht="41" customHeight="1" x14ac:dyDescent="0.15">
      <c r="A6" s="41" t="s">
        <v>93</v>
      </c>
      <c r="B6" s="41"/>
      <c r="C6" s="41"/>
      <c r="D6" s="41"/>
    </row>
    <row r="8" spans="1:5" ht="41" customHeight="1" x14ac:dyDescent="0.15">
      <c r="A8" s="42" t="s">
        <v>92</v>
      </c>
      <c r="B8" s="42"/>
      <c r="C8" s="42"/>
      <c r="D8" s="42"/>
    </row>
    <row r="9" spans="1:5" ht="41" customHeight="1" x14ac:dyDescent="0.15">
      <c r="A9" s="41" t="s">
        <v>71</v>
      </c>
      <c r="B9" s="41"/>
      <c r="C9" s="41"/>
      <c r="D9" s="41"/>
    </row>
    <row r="11" spans="1:5" ht="16" x14ac:dyDescent="0.2">
      <c r="A11" s="28" t="s">
        <v>70</v>
      </c>
      <c r="B11" s="28" t="s">
        <v>74</v>
      </c>
      <c r="C11" s="28" t="s">
        <v>75</v>
      </c>
      <c r="D11" s="28" t="s">
        <v>59</v>
      </c>
    </row>
    <row r="12" spans="1:5" x14ac:dyDescent="0.15">
      <c r="A12">
        <v>1</v>
      </c>
      <c r="B12" t="s">
        <v>78</v>
      </c>
      <c r="C12" t="s">
        <v>61</v>
      </c>
      <c r="D12">
        <v>0</v>
      </c>
    </row>
    <row r="13" spans="1:5" x14ac:dyDescent="0.15">
      <c r="A13">
        <v>2</v>
      </c>
      <c r="B13" t="s">
        <v>79</v>
      </c>
      <c r="C13" t="s">
        <v>61</v>
      </c>
      <c r="D13">
        <v>0</v>
      </c>
    </row>
    <row r="14" spans="1:5" x14ac:dyDescent="0.15">
      <c r="A14">
        <v>3</v>
      </c>
      <c r="B14" t="s">
        <v>61</v>
      </c>
      <c r="C14" t="s">
        <v>78</v>
      </c>
      <c r="D14">
        <v>0</v>
      </c>
    </row>
    <row r="15" spans="1:5" x14ac:dyDescent="0.15">
      <c r="A15">
        <v>4</v>
      </c>
      <c r="B15" t="s">
        <v>61</v>
      </c>
      <c r="C15" t="s">
        <v>79</v>
      </c>
      <c r="D15">
        <v>0</v>
      </c>
    </row>
    <row r="16" spans="1:5" x14ac:dyDescent="0.15">
      <c r="A16">
        <v>5</v>
      </c>
      <c r="B16" t="s">
        <v>61</v>
      </c>
      <c r="C16" t="s">
        <v>80</v>
      </c>
      <c r="D16">
        <v>0</v>
      </c>
      <c r="E16" t="s">
        <v>64</v>
      </c>
    </row>
    <row r="17" spans="1:5" x14ac:dyDescent="0.15">
      <c r="A17">
        <v>6</v>
      </c>
      <c r="B17" t="s">
        <v>61</v>
      </c>
      <c r="C17" t="s">
        <v>65</v>
      </c>
      <c r="D17">
        <v>0</v>
      </c>
      <c r="E17" t="s">
        <v>64</v>
      </c>
    </row>
    <row r="18" spans="1:5" x14ac:dyDescent="0.15">
      <c r="A18">
        <v>7</v>
      </c>
      <c r="B18" t="s">
        <v>61</v>
      </c>
      <c r="C18" t="s">
        <v>81</v>
      </c>
      <c r="D18">
        <v>1</v>
      </c>
    </row>
    <row r="19" spans="1:5" x14ac:dyDescent="0.15">
      <c r="A19">
        <v>8</v>
      </c>
      <c r="B19" t="s">
        <v>80</v>
      </c>
      <c r="C19" t="s">
        <v>61</v>
      </c>
      <c r="D19">
        <v>0</v>
      </c>
      <c r="E19" t="s">
        <v>64</v>
      </c>
    </row>
    <row r="20" spans="1:5" x14ac:dyDescent="0.15">
      <c r="A20">
        <v>9</v>
      </c>
      <c r="B20" t="s">
        <v>82</v>
      </c>
      <c r="C20" t="s">
        <v>61</v>
      </c>
      <c r="D20">
        <v>1</v>
      </c>
    </row>
    <row r="21" spans="1:5" x14ac:dyDescent="0.15">
      <c r="A21">
        <v>10</v>
      </c>
      <c r="B21" t="s">
        <v>81</v>
      </c>
      <c r="C21" t="s">
        <v>61</v>
      </c>
      <c r="D21">
        <v>1</v>
      </c>
    </row>
    <row r="22" spans="1:5" x14ac:dyDescent="0.15">
      <c r="A22">
        <v>11</v>
      </c>
      <c r="B22" t="s">
        <v>83</v>
      </c>
      <c r="C22" t="s">
        <v>83</v>
      </c>
      <c r="D22">
        <v>0.5</v>
      </c>
      <c r="E22" t="s">
        <v>64</v>
      </c>
    </row>
    <row r="23" spans="1:5" x14ac:dyDescent="0.15">
      <c r="A23">
        <v>12</v>
      </c>
      <c r="B23" t="s">
        <v>83</v>
      </c>
      <c r="C23" t="s">
        <v>22</v>
      </c>
      <c r="D23">
        <v>0.9</v>
      </c>
      <c r="E23" t="s">
        <v>64</v>
      </c>
    </row>
    <row r="24" spans="1:5" x14ac:dyDescent="0.15">
      <c r="A24">
        <v>13</v>
      </c>
      <c r="B24" t="s">
        <v>22</v>
      </c>
      <c r="C24" t="s">
        <v>84</v>
      </c>
      <c r="D24">
        <v>0.9</v>
      </c>
      <c r="E24" t="s">
        <v>64</v>
      </c>
    </row>
    <row r="25" spans="1:5" x14ac:dyDescent="0.15">
      <c r="A25">
        <v>14</v>
      </c>
      <c r="B25" t="s">
        <v>61</v>
      </c>
      <c r="C25" t="s">
        <v>61</v>
      </c>
      <c r="D25">
        <v>0</v>
      </c>
      <c r="E25" t="s">
        <v>64</v>
      </c>
    </row>
    <row r="27" spans="1:5" ht="16" x14ac:dyDescent="0.2">
      <c r="A27" s="28" t="s">
        <v>73</v>
      </c>
      <c r="B27" s="28" t="s">
        <v>57</v>
      </c>
      <c r="C27" s="28" t="s">
        <v>58</v>
      </c>
      <c r="D27" s="28" t="s">
        <v>76</v>
      </c>
    </row>
    <row r="28" spans="1:5" x14ac:dyDescent="0.15">
      <c r="A28">
        <v>1</v>
      </c>
      <c r="B28" t="s">
        <v>60</v>
      </c>
      <c r="C28" t="s">
        <v>61</v>
      </c>
      <c r="D28">
        <v>0</v>
      </c>
    </row>
    <row r="29" spans="1:5" x14ac:dyDescent="0.15">
      <c r="A29">
        <v>2</v>
      </c>
      <c r="B29" t="s">
        <v>62</v>
      </c>
      <c r="C29" t="s">
        <v>61</v>
      </c>
      <c r="D29">
        <v>0</v>
      </c>
    </row>
    <row r="30" spans="1:5" x14ac:dyDescent="0.15">
      <c r="A30">
        <v>3</v>
      </c>
      <c r="B30" t="s">
        <v>61</v>
      </c>
      <c r="C30" t="s">
        <v>60</v>
      </c>
      <c r="D30">
        <v>0</v>
      </c>
    </row>
    <row r="31" spans="1:5" x14ac:dyDescent="0.15">
      <c r="A31">
        <v>4</v>
      </c>
      <c r="B31" t="s">
        <v>61</v>
      </c>
      <c r="C31" t="s">
        <v>62</v>
      </c>
      <c r="D31">
        <v>0</v>
      </c>
    </row>
    <row r="32" spans="1:5" x14ac:dyDescent="0.15">
      <c r="A32">
        <v>5</v>
      </c>
      <c r="B32" t="s">
        <v>61</v>
      </c>
      <c r="C32" t="s">
        <v>63</v>
      </c>
      <c r="D32">
        <v>0</v>
      </c>
      <c r="E32" t="s">
        <v>77</v>
      </c>
    </row>
    <row r="33" spans="1:5" x14ac:dyDescent="0.15">
      <c r="A33">
        <v>6</v>
      </c>
      <c r="B33" t="s">
        <v>61</v>
      </c>
      <c r="C33" t="s">
        <v>65</v>
      </c>
      <c r="D33">
        <v>0</v>
      </c>
      <c r="E33" t="s">
        <v>77</v>
      </c>
    </row>
    <row r="34" spans="1:5" x14ac:dyDescent="0.15">
      <c r="A34">
        <v>7</v>
      </c>
      <c r="B34" t="s">
        <v>61</v>
      </c>
      <c r="C34" t="s">
        <v>66</v>
      </c>
      <c r="D34">
        <v>1</v>
      </c>
    </row>
    <row r="35" spans="1:5" x14ac:dyDescent="0.15">
      <c r="A35">
        <v>8</v>
      </c>
      <c r="B35" t="s">
        <v>63</v>
      </c>
      <c r="C35" t="s">
        <v>61</v>
      </c>
      <c r="D35">
        <v>0</v>
      </c>
      <c r="E35" t="s">
        <v>77</v>
      </c>
    </row>
    <row r="36" spans="1:5" x14ac:dyDescent="0.15">
      <c r="A36">
        <v>9</v>
      </c>
      <c r="B36" t="s">
        <v>67</v>
      </c>
      <c r="C36" t="s">
        <v>61</v>
      </c>
      <c r="D36">
        <v>1</v>
      </c>
    </row>
    <row r="37" spans="1:5" x14ac:dyDescent="0.15">
      <c r="A37">
        <v>10</v>
      </c>
      <c r="B37" t="s">
        <v>66</v>
      </c>
      <c r="C37" t="s">
        <v>61</v>
      </c>
      <c r="D37">
        <v>1</v>
      </c>
    </row>
    <row r="38" spans="1:5" x14ac:dyDescent="0.15">
      <c r="A38">
        <v>11</v>
      </c>
      <c r="B38" t="s">
        <v>68</v>
      </c>
      <c r="C38" t="s">
        <v>68</v>
      </c>
      <c r="D38">
        <v>0.5</v>
      </c>
      <c r="E38" t="s">
        <v>77</v>
      </c>
    </row>
    <row r="39" spans="1:5" x14ac:dyDescent="0.15">
      <c r="A39">
        <v>12</v>
      </c>
      <c r="B39" t="s">
        <v>68</v>
      </c>
      <c r="C39" t="s">
        <v>22</v>
      </c>
      <c r="D39">
        <v>0.9</v>
      </c>
      <c r="E39" t="s">
        <v>77</v>
      </c>
    </row>
    <row r="40" spans="1:5" x14ac:dyDescent="0.15">
      <c r="A40">
        <v>13</v>
      </c>
      <c r="B40" t="s">
        <v>22</v>
      </c>
      <c r="C40" t="s">
        <v>69</v>
      </c>
      <c r="D40">
        <v>0.9</v>
      </c>
      <c r="E40" t="s">
        <v>64</v>
      </c>
    </row>
    <row r="41" spans="1:5" x14ac:dyDescent="0.15">
      <c r="A41">
        <v>14</v>
      </c>
      <c r="B41" t="s">
        <v>61</v>
      </c>
      <c r="C41" t="s">
        <v>61</v>
      </c>
      <c r="D41">
        <v>0</v>
      </c>
      <c r="E41" t="s">
        <v>77</v>
      </c>
    </row>
  </sheetData>
  <mergeCells count="5">
    <mergeCell ref="B4:D4"/>
    <mergeCell ref="A9:D9"/>
    <mergeCell ref="A6:D6"/>
    <mergeCell ref="A5:D5"/>
    <mergeCell ref="A8:D8"/>
  </mergeCells>
  <pageMargins left="0.7" right="0.7" top="0.78740157499999996" bottom="0.78740157499999996" header="0.3" footer="0.3"/>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Arbeitsblätter</vt:lpstr>
      </vt:variant>
      <vt:variant>
        <vt:i4>11</vt:i4>
      </vt:variant>
    </vt:vector>
  </HeadingPairs>
  <TitlesOfParts>
    <vt:vector size="11" baseType="lpstr">
      <vt:lpstr>Forecast_Data</vt:lpstr>
      <vt:lpstr>Grafiken 1</vt:lpstr>
      <vt:lpstr>Grafiken 2</vt:lpstr>
      <vt:lpstr>Projektübersicht</vt:lpstr>
      <vt:lpstr>Umsatz kumuliert</vt:lpstr>
      <vt:lpstr>Rechnungen</vt:lpstr>
      <vt:lpstr>Rechnungen Vorjahr</vt:lpstr>
      <vt:lpstr>Rechnungen Vorvorjahr</vt:lpstr>
      <vt:lpstr>Planning_Data</vt:lpstr>
      <vt:lpstr>Planning_Invoices</vt:lpstr>
      <vt:lpstr>Info</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
  <dcterms:created xsi:type="dcterms:W3CDTF">2019-12-09T16:21:19Z</dcterms:created>
  <dcterms:modified xsi:type="dcterms:W3CDTF">2026-08-28T16:48:50Z</dcterms:modified>
</cp:coreProperties>
</file>